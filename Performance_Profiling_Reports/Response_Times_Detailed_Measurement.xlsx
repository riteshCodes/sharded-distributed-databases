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tuSemesters\Semester Winter 2022_23\Bachelor Thesis\sharded-distributed-databases\Performance_Profiling_Reports\"/>
    </mc:Choice>
  </mc:AlternateContent>
  <xr:revisionPtr revIDLastSave="0" documentId="13_ncr:1_{55199D71-E503-488E-ACAC-C0D2A49A7BC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esponse_tim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6" i="2" l="1"/>
  <c r="F167" i="2"/>
  <c r="F168" i="2"/>
  <c r="F169" i="2"/>
  <c r="F170" i="2"/>
  <c r="F171" i="2"/>
  <c r="F165" i="2"/>
  <c r="F154" i="2"/>
  <c r="F155" i="2"/>
  <c r="F156" i="2"/>
  <c r="F157" i="2"/>
  <c r="F158" i="2"/>
  <c r="F159" i="2"/>
  <c r="F153" i="2"/>
  <c r="F142" i="2"/>
  <c r="F143" i="2"/>
  <c r="F144" i="2"/>
  <c r="F145" i="2"/>
  <c r="F146" i="2"/>
  <c r="F147" i="2"/>
  <c r="F141" i="2"/>
  <c r="F130" i="2"/>
  <c r="F131" i="2"/>
  <c r="F132" i="2"/>
  <c r="F133" i="2"/>
  <c r="F134" i="2"/>
  <c r="F135" i="2"/>
  <c r="F129" i="2"/>
  <c r="G136" i="2"/>
  <c r="G148" i="2"/>
  <c r="G160" i="2"/>
  <c r="G172" i="2"/>
  <c r="B20" i="2"/>
  <c r="B49" i="2"/>
  <c r="B34" i="2"/>
  <c r="M111" i="2"/>
  <c r="M112" i="2"/>
  <c r="M113" i="2"/>
  <c r="M114" i="2"/>
  <c r="M115" i="2"/>
  <c r="M116" i="2"/>
  <c r="L111" i="2"/>
  <c r="L112" i="2"/>
  <c r="L113" i="2"/>
  <c r="L114" i="2"/>
  <c r="L115" i="2"/>
  <c r="L116" i="2"/>
  <c r="M110" i="2"/>
  <c r="L110" i="2"/>
  <c r="K111" i="2"/>
  <c r="K112" i="2"/>
  <c r="K113" i="2"/>
  <c r="K114" i="2"/>
  <c r="K115" i="2"/>
  <c r="K116" i="2"/>
  <c r="K110" i="2"/>
  <c r="J111" i="2"/>
  <c r="J112" i="2"/>
  <c r="J113" i="2"/>
  <c r="J114" i="2"/>
  <c r="J115" i="2"/>
  <c r="J116" i="2"/>
  <c r="J110" i="2"/>
  <c r="L42" i="2"/>
  <c r="O13" i="2"/>
  <c r="N48" i="2"/>
  <c r="N47" i="2"/>
  <c r="N46" i="2"/>
  <c r="N45" i="2"/>
  <c r="N44" i="2"/>
  <c r="N43" i="2"/>
  <c r="N42" i="2"/>
  <c r="M48" i="2"/>
  <c r="M47" i="2"/>
  <c r="M46" i="2"/>
  <c r="M45" i="2"/>
  <c r="M44" i="2"/>
  <c r="M43" i="2"/>
  <c r="M42" i="2"/>
  <c r="L48" i="2"/>
  <c r="L47" i="2"/>
  <c r="L46" i="2"/>
  <c r="L45" i="2"/>
  <c r="L44" i="2"/>
  <c r="L43" i="2"/>
  <c r="O48" i="2"/>
  <c r="O47" i="2"/>
  <c r="O46" i="2"/>
  <c r="O45" i="2"/>
  <c r="O44" i="2"/>
  <c r="O43" i="2"/>
  <c r="O42" i="2"/>
  <c r="O28" i="2"/>
  <c r="O29" i="2"/>
  <c r="O30" i="2"/>
  <c r="O31" i="2"/>
  <c r="O32" i="2"/>
  <c r="O33" i="2"/>
  <c r="O27" i="2"/>
  <c r="N28" i="2"/>
  <c r="N29" i="2"/>
  <c r="N30" i="2"/>
  <c r="N31" i="2"/>
  <c r="N32" i="2"/>
  <c r="N33" i="2"/>
  <c r="N27" i="2"/>
  <c r="M28" i="2"/>
  <c r="M29" i="2"/>
  <c r="M30" i="2"/>
  <c r="M31" i="2"/>
  <c r="M32" i="2"/>
  <c r="M33" i="2"/>
  <c r="M27" i="2"/>
  <c r="L27" i="2"/>
  <c r="L28" i="2"/>
  <c r="L29" i="2"/>
  <c r="L30" i="2"/>
  <c r="L31" i="2"/>
  <c r="L32" i="2"/>
  <c r="L33" i="2"/>
  <c r="L13" i="2"/>
  <c r="O14" i="2"/>
  <c r="O15" i="2"/>
  <c r="O16" i="2"/>
  <c r="O17" i="2"/>
  <c r="O18" i="2"/>
  <c r="O19" i="2"/>
  <c r="N14" i="2"/>
  <c r="N15" i="2"/>
  <c r="N16" i="2"/>
  <c r="N17" i="2"/>
  <c r="N18" i="2"/>
  <c r="N19" i="2"/>
  <c r="N13" i="2"/>
  <c r="M14" i="2"/>
  <c r="M15" i="2"/>
  <c r="M16" i="2"/>
  <c r="M17" i="2"/>
  <c r="M18" i="2"/>
  <c r="M19" i="2"/>
  <c r="M13" i="2"/>
  <c r="L14" i="2"/>
  <c r="L15" i="2"/>
  <c r="L16" i="2"/>
  <c r="L17" i="2"/>
  <c r="L18" i="2"/>
  <c r="L19" i="2"/>
  <c r="P17" i="2" l="1"/>
  <c r="P13" i="2"/>
  <c r="P48" i="2"/>
  <c r="P14" i="2"/>
  <c r="P27" i="2"/>
  <c r="P28" i="2"/>
  <c r="P43" i="2"/>
  <c r="P42" i="2"/>
  <c r="P19" i="2"/>
  <c r="P16" i="2"/>
  <c r="P18" i="2"/>
  <c r="P15" i="2"/>
  <c r="P33" i="2"/>
  <c r="P46" i="2"/>
  <c r="P47" i="2"/>
  <c r="P45" i="2"/>
  <c r="P44" i="2"/>
  <c r="P29" i="2"/>
  <c r="P30" i="2"/>
  <c r="P32" i="2"/>
  <c r="P31" i="2"/>
</calcChain>
</file>

<file path=xl/sharedStrings.xml><?xml version="1.0" encoding="utf-8"?>
<sst xmlns="http://schemas.openxmlformats.org/spreadsheetml/2006/main" count="226" uniqueCount="91">
  <si>
    <t>Functions</t>
  </si>
  <si>
    <t>get_range</t>
  </si>
  <si>
    <t>del_single</t>
  </si>
  <si>
    <t>Client_Instances = 1</t>
  </si>
  <si>
    <t>Baseline: Response_Time</t>
  </si>
  <si>
    <t>M1: Internal_Response_Time</t>
  </si>
  <si>
    <t>M2:  Internal_Response_Time</t>
  </si>
  <si>
    <t>M4: Internal_Response_Time</t>
  </si>
  <si>
    <t>M6: Internal_Response_Time</t>
  </si>
  <si>
    <t>set_single</t>
  </si>
  <si>
    <t>set_multiple</t>
  </si>
  <si>
    <t>get_single</t>
  </si>
  <si>
    <t>get_multiple</t>
  </si>
  <si>
    <t>del_multiple</t>
  </si>
  <si>
    <t>Communication_Time_gRPC</t>
  </si>
  <si>
    <t>Client_Instances = 10</t>
  </si>
  <si>
    <t>Client_Instances = 100</t>
  </si>
  <si>
    <t>M1: Processing Time</t>
  </si>
  <si>
    <t>M2: Processing Time</t>
  </si>
  <si>
    <t>M4: Processing Time</t>
  </si>
  <si>
    <t>M6: Processing Time</t>
  </si>
  <si>
    <t>C1-M1</t>
  </si>
  <si>
    <t>C1-M2</t>
  </si>
  <si>
    <t>C1-M4</t>
  </si>
  <si>
    <t>C1-M6</t>
  </si>
  <si>
    <t>C10-M1</t>
  </si>
  <si>
    <t>C10-M2</t>
  </si>
  <si>
    <t>C10-M4</t>
  </si>
  <si>
    <t>C10-M6</t>
  </si>
  <si>
    <t>C100-M1</t>
  </si>
  <si>
    <t>C100-M2</t>
  </si>
  <si>
    <t>C100-M4</t>
  </si>
  <si>
    <t>C100-M6</t>
  </si>
  <si>
    <t>Average Middleware Processing Time</t>
  </si>
  <si>
    <t>M6: Internal Round-trip Latency</t>
  </si>
  <si>
    <t>Number of Key-Value Pair</t>
  </si>
  <si>
    <t>C1-M6: Total Response Time</t>
  </si>
  <si>
    <t>Waiting_Time_Requent_Response</t>
  </si>
  <si>
    <t>Processing _Time_Sharding</t>
  </si>
  <si>
    <t>C1-M4: Total Response Time</t>
  </si>
  <si>
    <t>M4: Internal Round-trip Latency</t>
  </si>
  <si>
    <t>C1-M2: Total Response Time</t>
  </si>
  <si>
    <t>M2: Internal Round-trip Latency</t>
  </si>
  <si>
    <t>M1: Internal Round-trip Latency</t>
  </si>
  <si>
    <t>C1-M1: Total Response Time</t>
  </si>
  <si>
    <t>Load_Test_Evaluation_Time = 1 minute</t>
  </si>
  <si>
    <t>Average_Response_Time_Metric: milliseconds (ms)</t>
  </si>
  <si>
    <t>Middleware_Logs_Evaluation_Time = 1 minute</t>
  </si>
  <si>
    <t>C1: Client Instance = 1,  C10: Client Instance = 10,  C100: Client Instance = 100,</t>
  </si>
  <si>
    <t>Baseline = Without Middleware ( 1 Redis database server )</t>
  </si>
  <si>
    <t>Load_Test_Execution = 3 minutes, Warm-up = 10 seconds, Cool-down = 20 seconds</t>
  </si>
  <si>
    <t>Middleware Configurations:</t>
  </si>
  <si>
    <t>Average</t>
  </si>
  <si>
    <t>Fine-Grained Evalutaion Case: 1 Client Instance - M:6, M:4, M:2, M:1</t>
  </si>
  <si>
    <t>M:6 - Middleware with 6 Redis database servers</t>
  </si>
  <si>
    <t>M:4 - Middleware with 4 Redis database servers</t>
  </si>
  <si>
    <t>M:2 - Middleware with 2 Redis database servers</t>
  </si>
  <si>
    <t>M:1 -  Middleware with 1 Redis database server</t>
  </si>
  <si>
    <t>Difference: C10-C1 (M:1)</t>
  </si>
  <si>
    <t>C1-M:1</t>
  </si>
  <si>
    <t>C1-M:2</t>
  </si>
  <si>
    <t>C1-M:4</t>
  </si>
  <si>
    <t>C1-M:6</t>
  </si>
  <si>
    <t>C10-M:1</t>
  </si>
  <si>
    <t>C10-M:2</t>
  </si>
  <si>
    <t>C10-M:4</t>
  </si>
  <si>
    <t>C10-M:6</t>
  </si>
  <si>
    <t>Difference: C10-C1 (M:2)</t>
  </si>
  <si>
    <t>Difference: C10-C1 (M:4)</t>
  </si>
  <si>
    <t>Difference: C10-C1 (M:6)</t>
  </si>
  <si>
    <t>baseline :C1</t>
  </si>
  <si>
    <t>Response Time direct</t>
  </si>
  <si>
    <t>Baseline: 1</t>
  </si>
  <si>
    <t>Baseline :</t>
  </si>
  <si>
    <t>Baseline:</t>
  </si>
  <si>
    <t xml:space="preserve">Baseline: </t>
  </si>
  <si>
    <t>Wait_Time + Other_Service Time</t>
  </si>
  <si>
    <t>Service _Time_Sharding</t>
  </si>
  <si>
    <t>M:6 - Service _Time</t>
  </si>
  <si>
    <t>M:6 - DB Response Time</t>
  </si>
  <si>
    <t>M:4 - DB Response Time</t>
  </si>
  <si>
    <t>M:2 - DB Response Time</t>
  </si>
  <si>
    <t>M:1 - DB Response Time</t>
  </si>
  <si>
    <t>M:4 -Total Response Time</t>
  </si>
  <si>
    <t>M:6 -Total Response Time</t>
  </si>
  <si>
    <t>M:2 -Total Response Time</t>
  </si>
  <si>
    <t>M:1 -Total Response Time</t>
  </si>
  <si>
    <t>Load-Test Execution Report</t>
  </si>
  <si>
    <t>M:4 - Service _Time</t>
  </si>
  <si>
    <t>M:2 - Service _Time</t>
  </si>
  <si>
    <t>M:1 - Service 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</si>
</sst>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5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ck">
        <color theme="4"/>
      </bottom>
      <diagonal/>
    </border>
    <border>
      <left/>
      <right/>
      <top style="thin">
        <color indexed="64"/>
      </top>
      <bottom style="thick">
        <color theme="4"/>
      </bottom>
      <diagonal/>
    </border>
    <border>
      <left/>
      <right style="thin">
        <color indexed="64"/>
      </right>
      <top style="thin">
        <color indexed="64"/>
      </top>
      <bottom style="thick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2" fillId="2" borderId="1" applyNumberFormat="0" applyAlignment="0" applyProtection="0"/>
    <xf numFmtId="0" fontId="3" fillId="4" borderId="0" applyNumberFormat="0" applyBorder="0" applyAlignment="0" applyProtection="0"/>
    <xf numFmtId="0" fontId="5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8" fillId="0" borderId="12" applyNumberFormat="0" applyFill="0" applyAlignment="0" applyProtection="0"/>
  </cellStyleXfs>
  <cellXfs count="39">
    <xf numFmtId="0" fontId="0" fillId="0" borderId="0" xfId="0"/>
    <xf numFmtId="0" fontId="1" fillId="0" borderId="0" xfId="0" applyFont="1"/>
    <xf numFmtId="0" fontId="2" fillId="2" borderId="1" xfId="1"/>
    <xf numFmtId="164" fontId="0" fillId="0" borderId="0" xfId="0" applyNumberFormat="1"/>
    <xf numFmtId="164" fontId="1" fillId="4" borderId="0" xfId="2" applyNumberFormat="1" applyFont="1"/>
    <xf numFmtId="11" fontId="0" fillId="0" borderId="0" xfId="0" applyNumberFormat="1"/>
    <xf numFmtId="0" fontId="1" fillId="6" borderId="1" xfId="4" applyFont="1" applyBorder="1"/>
    <xf numFmtId="0" fontId="1" fillId="6" borderId="0" xfId="4" applyFont="1"/>
    <xf numFmtId="0" fontId="2" fillId="11" borderId="1" xfId="1" applyFill="1"/>
    <xf numFmtId="0" fontId="4" fillId="7" borderId="1" xfId="5" applyBorder="1"/>
    <xf numFmtId="0" fontId="4" fillId="7" borderId="0" xfId="5"/>
    <xf numFmtId="164" fontId="7" fillId="10" borderId="0" xfId="0" applyNumberFormat="1" applyFont="1" applyFill="1"/>
    <xf numFmtId="164" fontId="7" fillId="10" borderId="0" xfId="3" applyNumberFormat="1" applyFont="1" applyFill="1"/>
    <xf numFmtId="0" fontId="7" fillId="10" borderId="0" xfId="0" applyFont="1" applyFill="1"/>
    <xf numFmtId="164" fontId="6" fillId="12" borderId="0" xfId="2" applyNumberFormat="1" applyFont="1" applyFill="1"/>
    <xf numFmtId="0" fontId="1" fillId="8" borderId="0" xfId="6" applyFont="1"/>
    <xf numFmtId="164" fontId="1" fillId="6" borderId="0" xfId="4" applyNumberFormat="1" applyFont="1"/>
    <xf numFmtId="0" fontId="2" fillId="2" borderId="11" xfId="1" applyBorder="1"/>
    <xf numFmtId="0" fontId="4" fillId="8" borderId="0" xfId="6"/>
    <xf numFmtId="0" fontId="1" fillId="6" borderId="14" xfId="4" applyFont="1" applyBorder="1"/>
    <xf numFmtId="0" fontId="1" fillId="8" borderId="13" xfId="6" applyFont="1" applyBorder="1"/>
    <xf numFmtId="0" fontId="9" fillId="9" borderId="15" xfId="7" applyFont="1" applyFill="1" applyBorder="1" applyAlignment="1">
      <alignment horizontal="center"/>
    </xf>
    <xf numFmtId="0" fontId="9" fillId="9" borderId="16" xfId="7" applyFont="1" applyFill="1" applyBorder="1" applyAlignment="1">
      <alignment horizontal="center"/>
    </xf>
    <xf numFmtId="0" fontId="9" fillId="9" borderId="17" xfId="7" applyFont="1" applyFill="1" applyBorder="1" applyAlignment="1">
      <alignment horizontal="center"/>
    </xf>
    <xf numFmtId="0" fontId="9" fillId="9" borderId="18" xfId="7" applyFont="1" applyFill="1" applyBorder="1" applyAlignment="1">
      <alignment horizontal="center"/>
    </xf>
    <xf numFmtId="0" fontId="9" fillId="9" borderId="19" xfId="7" applyFont="1" applyFill="1" applyBorder="1" applyAlignment="1">
      <alignment horizontal="center"/>
    </xf>
    <xf numFmtId="0" fontId="9" fillId="9" borderId="20" xfId="7" applyFont="1" applyFill="1" applyBorder="1" applyAlignment="1">
      <alignment horizontal="center"/>
    </xf>
    <xf numFmtId="0" fontId="1" fillId="7" borderId="10" xfId="5" applyFont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9" borderId="7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1" fillId="9" borderId="0" xfId="0" applyFont="1" applyFill="1" applyAlignment="1">
      <alignment horizontal="center"/>
    </xf>
    <xf numFmtId="0" fontId="1" fillId="9" borderId="8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8" borderId="0" xfId="6" applyFont="1" applyAlignment="1">
      <alignment horizontal="center"/>
    </xf>
  </cellXfs>
  <cellStyles count="8">
    <cellStyle name="20% - Accent5" xfId="5" builtinId="46"/>
    <cellStyle name="20% - Accent6" xfId="6" builtinId="50"/>
    <cellStyle name="40% - Accent4" xfId="4" builtinId="43"/>
    <cellStyle name="Bad" xfId="3" builtinId="27"/>
    <cellStyle name="Heading 1" xfId="7" builtinId="16"/>
    <cellStyle name="Neutral" xfId="2" builtinId="28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DFA73-0146-4B44-A73A-A03B2960D74C}">
  <dimension ref="A1:P184"/>
  <sheetViews>
    <sheetView tabSelected="1" topLeftCell="A95" zoomScaleNormal="100" workbookViewId="0">
      <selection activeCell="G101" sqref="G101"/>
    </sheetView>
  </sheetViews>
  <sheetFormatPr defaultRowHeight="15" x14ac:dyDescent="0.25"/>
  <cols>
    <col min="1" max="1" width="20.7109375" bestFit="1" customWidth="1"/>
    <col min="2" max="2" width="26.5703125" bestFit="1" customWidth="1"/>
    <col min="3" max="3" width="27.42578125" bestFit="1" customWidth="1"/>
    <col min="4" max="4" width="29.7109375" bestFit="1" customWidth="1"/>
    <col min="5" max="5" width="27.42578125" bestFit="1" customWidth="1"/>
    <col min="6" max="6" width="32.28515625" bestFit="1" customWidth="1"/>
    <col min="7" max="7" width="26.42578125" bestFit="1" customWidth="1"/>
    <col min="8" max="11" width="13.140625" bestFit="1" customWidth="1"/>
    <col min="12" max="15" width="19.42578125" bestFit="1" customWidth="1"/>
    <col min="16" max="16" width="35.140625" bestFit="1" customWidth="1"/>
    <col min="17" max="19" width="23" bestFit="1" customWidth="1"/>
  </cols>
  <sheetData>
    <row r="1" spans="1:16" x14ac:dyDescent="0.25">
      <c r="A1" s="28" t="s">
        <v>47</v>
      </c>
      <c r="B1" s="29"/>
      <c r="C1" s="29"/>
      <c r="D1" s="30"/>
      <c r="F1" s="28" t="s">
        <v>51</v>
      </c>
      <c r="G1" s="30"/>
    </row>
    <row r="2" spans="1:16" x14ac:dyDescent="0.25">
      <c r="A2" s="31" t="s">
        <v>50</v>
      </c>
      <c r="B2" s="35"/>
      <c r="C2" s="35"/>
      <c r="D2" s="32"/>
      <c r="F2" s="31" t="s">
        <v>54</v>
      </c>
      <c r="G2" s="32"/>
    </row>
    <row r="3" spans="1:16" x14ac:dyDescent="0.25">
      <c r="A3" s="31" t="s">
        <v>45</v>
      </c>
      <c r="B3" s="35"/>
      <c r="C3" s="35"/>
      <c r="D3" s="32"/>
      <c r="F3" s="31" t="s">
        <v>55</v>
      </c>
      <c r="G3" s="32"/>
    </row>
    <row r="4" spans="1:16" x14ac:dyDescent="0.25">
      <c r="A4" s="31" t="s">
        <v>46</v>
      </c>
      <c r="B4" s="35"/>
      <c r="C4" s="35"/>
      <c r="D4" s="32"/>
      <c r="F4" s="31" t="s">
        <v>56</v>
      </c>
      <c r="G4" s="32"/>
    </row>
    <row r="5" spans="1:16" x14ac:dyDescent="0.25">
      <c r="A5" s="31" t="s">
        <v>49</v>
      </c>
      <c r="B5" s="35"/>
      <c r="C5" s="35"/>
      <c r="D5" s="32"/>
      <c r="F5" s="31" t="s">
        <v>57</v>
      </c>
      <c r="G5" s="32"/>
    </row>
    <row r="6" spans="1:16" ht="15.75" thickBot="1" x14ac:dyDescent="0.3">
      <c r="A6" s="33" t="s">
        <v>48</v>
      </c>
      <c r="B6" s="36"/>
      <c r="C6" s="36"/>
      <c r="D6" s="34"/>
      <c r="F6" s="33"/>
      <c r="G6" s="34"/>
    </row>
    <row r="7" spans="1:16" x14ac:dyDescent="0.25">
      <c r="A7" s="1"/>
    </row>
    <row r="8" spans="1:16" ht="15.75" thickBot="1" x14ac:dyDescent="0.3">
      <c r="A8" s="21" t="s">
        <v>87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3"/>
    </row>
    <row r="9" spans="1:16" ht="15.75" thickTop="1" x14ac:dyDescent="0.25">
      <c r="A9" s="24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</row>
    <row r="11" spans="1:16" x14ac:dyDescent="0.25">
      <c r="A11" s="37" t="s">
        <v>3</v>
      </c>
      <c r="B11" s="37"/>
    </row>
    <row r="12" spans="1:16" x14ac:dyDescent="0.25">
      <c r="A12" s="2" t="s">
        <v>0</v>
      </c>
      <c r="B12" s="8" t="s">
        <v>4</v>
      </c>
      <c r="C12" s="2" t="s">
        <v>5</v>
      </c>
      <c r="D12" s="2" t="s">
        <v>6</v>
      </c>
      <c r="E12" s="2" t="s">
        <v>7</v>
      </c>
      <c r="F12" s="2" t="s">
        <v>8</v>
      </c>
      <c r="G12" s="2" t="s">
        <v>14</v>
      </c>
      <c r="H12" s="9" t="s">
        <v>21</v>
      </c>
      <c r="I12" s="9" t="s">
        <v>22</v>
      </c>
      <c r="J12" s="9" t="s">
        <v>23</v>
      </c>
      <c r="K12" s="9" t="s">
        <v>24</v>
      </c>
      <c r="L12" s="2" t="s">
        <v>17</v>
      </c>
      <c r="M12" s="2" t="s">
        <v>18</v>
      </c>
      <c r="N12" s="2" t="s">
        <v>19</v>
      </c>
      <c r="O12" s="2" t="s">
        <v>20</v>
      </c>
      <c r="P12" s="2" t="s">
        <v>33</v>
      </c>
    </row>
    <row r="13" spans="1:16" x14ac:dyDescent="0.25">
      <c r="A13" t="s">
        <v>9</v>
      </c>
      <c r="B13">
        <v>0.32553672790527299</v>
      </c>
      <c r="C13" s="3">
        <v>0.52516379831418403</v>
      </c>
      <c r="D13">
        <v>0.55217083894890695</v>
      </c>
      <c r="E13" s="3">
        <v>0.56642264724104496</v>
      </c>
      <c r="F13">
        <v>0.53922044867672203</v>
      </c>
      <c r="G13" s="3">
        <v>3.4243865973862802</v>
      </c>
      <c r="H13" s="10">
        <v>3.9895902707595199</v>
      </c>
      <c r="I13" s="10">
        <v>4.02605646143118</v>
      </c>
      <c r="J13" s="10">
        <v>4.0353076186722596</v>
      </c>
      <c r="K13" s="10">
        <v>4.0050931003851096</v>
      </c>
      <c r="L13" s="3">
        <f t="shared" ref="L13:L19" si="0">(H13-C13-G13)</f>
        <v>4.0039875059055596E-2</v>
      </c>
      <c r="M13" s="3">
        <f t="shared" ref="M13:M19" si="1">(I13-D13-G13)</f>
        <v>4.9499025095992799E-2</v>
      </c>
      <c r="N13" s="3">
        <f>(J13-E13-G13)</f>
        <v>4.4498374044934508E-2</v>
      </c>
      <c r="O13" s="3">
        <f>(K13-F13-G13)</f>
        <v>4.1486054322107613E-2</v>
      </c>
      <c r="P13" s="16">
        <f>(L13+M13+N13+O13)/4</f>
        <v>4.3880832130522629E-2</v>
      </c>
    </row>
    <row r="14" spans="1:16" x14ac:dyDescent="0.25">
      <c r="A14" t="s">
        <v>10</v>
      </c>
      <c r="B14">
        <v>13.873553276061999</v>
      </c>
      <c r="C14">
        <v>32.977948012191398</v>
      </c>
      <c r="D14" s="3">
        <v>37.627384497258902</v>
      </c>
      <c r="E14" s="3">
        <v>40.476617648566901</v>
      </c>
      <c r="F14">
        <v>45.082622893090097</v>
      </c>
      <c r="G14" s="3">
        <v>3.4243865973862802</v>
      </c>
      <c r="H14" s="10">
        <v>41.8466371823881</v>
      </c>
      <c r="I14" s="10">
        <v>45.799138335569502</v>
      </c>
      <c r="J14" s="10">
        <v>48.675797406364801</v>
      </c>
      <c r="K14" s="10">
        <v>54.5115243820917</v>
      </c>
      <c r="L14" s="3">
        <f t="shared" si="0"/>
        <v>5.4443025728104226</v>
      </c>
      <c r="M14" s="3">
        <f t="shared" si="1"/>
        <v>4.7473672409243202</v>
      </c>
      <c r="N14" s="3">
        <f t="shared" ref="N14:N19" si="2">(J14-E14-G14)</f>
        <v>4.7747931604116198</v>
      </c>
      <c r="O14" s="3">
        <f t="shared" ref="O14:O19" si="3">(K14-F14-G14)</f>
        <v>6.0045148916153233</v>
      </c>
      <c r="P14" s="16">
        <f t="shared" ref="P14:P19" si="4">(L14+M14+N14+O14)/4</f>
        <v>5.2427444664404215</v>
      </c>
    </row>
    <row r="15" spans="1:16" x14ac:dyDescent="0.25">
      <c r="A15" t="s">
        <v>11</v>
      </c>
      <c r="B15">
        <v>0.16608238220214799</v>
      </c>
      <c r="C15">
        <v>0.49840760395546102</v>
      </c>
      <c r="D15" s="3">
        <v>0.42816291537031098</v>
      </c>
      <c r="E15" s="3">
        <v>0.53777458074084705</v>
      </c>
      <c r="F15">
        <v>0.54917054483667005</v>
      </c>
      <c r="G15" s="3">
        <v>3.4322229428683699</v>
      </c>
      <c r="H15" s="10">
        <v>4.0147860416504804</v>
      </c>
      <c r="I15" s="10">
        <v>4.1628384834501704</v>
      </c>
      <c r="J15" s="10">
        <v>4.1707241313894299</v>
      </c>
      <c r="K15" s="10">
        <v>4.0775397573838204</v>
      </c>
      <c r="L15" s="3">
        <f t="shared" si="0"/>
        <v>8.4155494826649413E-2</v>
      </c>
      <c r="M15" s="3">
        <f t="shared" si="1"/>
        <v>0.30245262521148941</v>
      </c>
      <c r="N15" s="3">
        <f t="shared" si="2"/>
        <v>0.20072660778021278</v>
      </c>
      <c r="O15" s="3">
        <f t="shared" si="3"/>
        <v>9.6146269678780261E-2</v>
      </c>
      <c r="P15" s="16">
        <f t="shared" si="4"/>
        <v>0.17087024937428297</v>
      </c>
    </row>
    <row r="16" spans="1:16" x14ac:dyDescent="0.25">
      <c r="A16" t="s">
        <v>12</v>
      </c>
      <c r="B16">
        <v>9.1446161270141602</v>
      </c>
      <c r="C16">
        <v>25.759887776849901</v>
      </c>
      <c r="D16" s="3">
        <v>27.827213474541299</v>
      </c>
      <c r="E16" s="3">
        <v>32.509592705689798</v>
      </c>
      <c r="F16">
        <v>34.394685960258002</v>
      </c>
      <c r="G16" s="3">
        <v>3.4322229428683699</v>
      </c>
      <c r="H16" s="10">
        <v>38.3633321341607</v>
      </c>
      <c r="I16" s="10">
        <v>42.259016332980003</v>
      </c>
      <c r="J16" s="10">
        <v>44.808815805147901</v>
      </c>
      <c r="K16" s="10">
        <v>47.1892843685389</v>
      </c>
      <c r="L16" s="3">
        <f t="shared" si="0"/>
        <v>9.1712214144424298</v>
      </c>
      <c r="M16" s="3">
        <f t="shared" si="1"/>
        <v>10.999579915570335</v>
      </c>
      <c r="N16" s="3">
        <f t="shared" si="2"/>
        <v>8.8670001565897341</v>
      </c>
      <c r="O16" s="3">
        <f t="shared" si="3"/>
        <v>9.3623754654125282</v>
      </c>
      <c r="P16" s="16">
        <f t="shared" si="4"/>
        <v>9.6000442380037558</v>
      </c>
    </row>
    <row r="17" spans="1:16" x14ac:dyDescent="0.25">
      <c r="A17" t="s">
        <v>1</v>
      </c>
      <c r="B17">
        <v>1.4037609100341699</v>
      </c>
      <c r="C17">
        <v>3.52255095970304</v>
      </c>
      <c r="D17" s="3">
        <v>4.2291533285572704</v>
      </c>
      <c r="E17" s="3">
        <v>5.3097894837627804</v>
      </c>
      <c r="F17">
        <v>6.2376752522495398</v>
      </c>
      <c r="G17" s="3">
        <v>3.4031658544935599</v>
      </c>
      <c r="H17" s="10">
        <v>7.9163517599320397</v>
      </c>
      <c r="I17" s="10">
        <v>8.8410975673074592</v>
      </c>
      <c r="J17" s="10">
        <v>9.8086684739508598</v>
      </c>
      <c r="K17" s="10">
        <v>11.208388920637001</v>
      </c>
      <c r="L17" s="3">
        <f t="shared" si="0"/>
        <v>0.9906349457354402</v>
      </c>
      <c r="M17" s="3">
        <f t="shared" si="1"/>
        <v>1.2087783842566289</v>
      </c>
      <c r="N17" s="3">
        <f t="shared" si="2"/>
        <v>1.0957131356945196</v>
      </c>
      <c r="O17" s="3">
        <f t="shared" si="3"/>
        <v>1.567547813893901</v>
      </c>
      <c r="P17" s="16">
        <f t="shared" si="4"/>
        <v>1.2156685698951224</v>
      </c>
    </row>
    <row r="18" spans="1:16" x14ac:dyDescent="0.25">
      <c r="A18" t="s">
        <v>2</v>
      </c>
      <c r="B18">
        <v>0.12984275817870999</v>
      </c>
      <c r="C18" s="3">
        <v>0.49062787411620901</v>
      </c>
      <c r="D18" s="3">
        <v>0.42316263608524202</v>
      </c>
      <c r="E18" s="3">
        <v>0.53834092805300005</v>
      </c>
      <c r="F18">
        <v>0.54279469219126897</v>
      </c>
      <c r="G18" s="3">
        <v>3.4400745046623098</v>
      </c>
      <c r="H18" s="10">
        <v>4.0209035037549397</v>
      </c>
      <c r="I18" s="10">
        <v>4.1352269590162702</v>
      </c>
      <c r="J18" s="10">
        <v>4.0890994634011797</v>
      </c>
      <c r="K18" s="10">
        <v>4.1074357013928502</v>
      </c>
      <c r="L18" s="3">
        <f t="shared" si="0"/>
        <v>9.0201124976420743E-2</v>
      </c>
      <c r="M18" s="3">
        <f t="shared" si="1"/>
        <v>0.2719898182687186</v>
      </c>
      <c r="N18" s="3">
        <f t="shared" si="2"/>
        <v>0.11068403068586985</v>
      </c>
      <c r="O18" s="3">
        <f t="shared" si="3"/>
        <v>0.12456650453927143</v>
      </c>
      <c r="P18" s="16">
        <f t="shared" si="4"/>
        <v>0.14936036961757015</v>
      </c>
    </row>
    <row r="19" spans="1:16" x14ac:dyDescent="0.25">
      <c r="A19" t="s">
        <v>13</v>
      </c>
      <c r="B19">
        <v>1.2818574905395499</v>
      </c>
      <c r="C19">
        <v>3.1790446098824598</v>
      </c>
      <c r="D19">
        <v>3.5695951125117098</v>
      </c>
      <c r="E19">
        <v>4.99549014023889</v>
      </c>
      <c r="F19">
        <v>5.9257052455949104</v>
      </c>
      <c r="G19" s="3">
        <v>3.4400745046623098</v>
      </c>
      <c r="H19" s="10">
        <v>6.9167933755607498</v>
      </c>
      <c r="I19" s="10">
        <v>7.6918990911074498</v>
      </c>
      <c r="J19" s="10">
        <v>8.6418529562595499</v>
      </c>
      <c r="K19" s="10">
        <v>9.8390835440481492</v>
      </c>
      <c r="L19" s="3">
        <f t="shared" si="0"/>
        <v>0.29767426101598016</v>
      </c>
      <c r="M19" s="3">
        <f t="shared" si="1"/>
        <v>0.68222947393343025</v>
      </c>
      <c r="N19" s="3">
        <f t="shared" si="2"/>
        <v>0.20628831135835002</v>
      </c>
      <c r="O19" s="3">
        <f t="shared" si="3"/>
        <v>0.47330379379092902</v>
      </c>
      <c r="P19" s="16">
        <f t="shared" si="4"/>
        <v>0.41487396002467236</v>
      </c>
    </row>
    <row r="20" spans="1:16" x14ac:dyDescent="0.25">
      <c r="A20" s="15" t="s">
        <v>52</v>
      </c>
      <c r="B20" s="15">
        <f>SUM(B13:B19)/7</f>
        <v>3.7607499531337156</v>
      </c>
      <c r="C20" s="15"/>
      <c r="D20" s="15"/>
      <c r="E20" s="15"/>
      <c r="F20" s="15"/>
      <c r="G20" s="15"/>
      <c r="H20" s="15">
        <v>15.1045682929261</v>
      </c>
      <c r="I20" s="15">
        <v>16.466972683078801</v>
      </c>
      <c r="J20" s="15">
        <v>17.623530680131701</v>
      </c>
      <c r="K20" s="15">
        <v>18.626433459035201</v>
      </c>
      <c r="L20" s="15"/>
      <c r="M20" s="15"/>
      <c r="N20" s="15"/>
      <c r="O20" s="15"/>
      <c r="P20" s="15"/>
    </row>
    <row r="25" spans="1:16" x14ac:dyDescent="0.25">
      <c r="A25" s="37" t="s">
        <v>15</v>
      </c>
      <c r="B25" s="37"/>
    </row>
    <row r="26" spans="1:16" x14ac:dyDescent="0.25">
      <c r="A26" s="2" t="s">
        <v>0</v>
      </c>
      <c r="B26" s="8" t="s">
        <v>4</v>
      </c>
      <c r="C26" s="2" t="s">
        <v>5</v>
      </c>
      <c r="D26" s="2" t="s">
        <v>6</v>
      </c>
      <c r="E26" s="2" t="s">
        <v>7</v>
      </c>
      <c r="F26" s="2" t="s">
        <v>8</v>
      </c>
      <c r="G26" s="2" t="s">
        <v>14</v>
      </c>
      <c r="H26" s="9" t="s">
        <v>25</v>
      </c>
      <c r="I26" s="9" t="s">
        <v>26</v>
      </c>
      <c r="J26" s="9" t="s">
        <v>27</v>
      </c>
      <c r="K26" s="9" t="s">
        <v>28</v>
      </c>
      <c r="L26" s="2" t="s">
        <v>17</v>
      </c>
      <c r="M26" s="2" t="s">
        <v>18</v>
      </c>
      <c r="N26" s="2" t="s">
        <v>19</v>
      </c>
      <c r="O26" s="2" t="s">
        <v>20</v>
      </c>
      <c r="P26" s="2" t="s">
        <v>33</v>
      </c>
    </row>
    <row r="27" spans="1:16" x14ac:dyDescent="0.25">
      <c r="A27" t="s">
        <v>9</v>
      </c>
      <c r="B27">
        <v>33.394912081043202</v>
      </c>
      <c r="C27" s="3">
        <v>11.847161237319201</v>
      </c>
      <c r="D27">
        <v>11.823772956803801</v>
      </c>
      <c r="E27" s="3">
        <v>10.2693631465152</v>
      </c>
      <c r="F27">
        <v>10.8891134198832</v>
      </c>
      <c r="G27" s="3">
        <v>3.4243865973862802</v>
      </c>
      <c r="H27" s="10">
        <v>104.206596222385</v>
      </c>
      <c r="I27" s="10">
        <v>103.825935221908</v>
      </c>
      <c r="J27" s="10">
        <v>100.11177985049</v>
      </c>
      <c r="K27" s="10">
        <v>93.901651246207095</v>
      </c>
      <c r="L27" s="3">
        <f t="shared" ref="L27:L33" si="5">(H27-C27-G27)</f>
        <v>88.935048387679529</v>
      </c>
      <c r="M27" s="3">
        <f t="shared" ref="M27:M33" si="6">(I27-D27-G27)</f>
        <v>88.57777566771793</v>
      </c>
      <c r="N27" s="3">
        <f>(J27-E27-G27)</f>
        <v>86.418030106588517</v>
      </c>
      <c r="O27" s="3">
        <f>(K27-F27-G27)</f>
        <v>79.588151228937619</v>
      </c>
      <c r="P27" s="16">
        <f>(L27+M27+N27+O27)/4</f>
        <v>85.879751347730888</v>
      </c>
    </row>
    <row r="28" spans="1:16" x14ac:dyDescent="0.25">
      <c r="A28" t="s">
        <v>10</v>
      </c>
      <c r="B28">
        <v>48.978336830402398</v>
      </c>
      <c r="C28">
        <v>106.746648747265</v>
      </c>
      <c r="D28" s="3">
        <v>106.067911051753</v>
      </c>
      <c r="E28" s="3">
        <v>117.862013085952</v>
      </c>
      <c r="F28">
        <v>123.020812843901</v>
      </c>
      <c r="G28" s="3">
        <v>3.4243865973862802</v>
      </c>
      <c r="H28" s="10">
        <v>198.878516435623</v>
      </c>
      <c r="I28" s="10">
        <v>193.56502606161001</v>
      </c>
      <c r="J28" s="10">
        <v>204.52682309183899</v>
      </c>
      <c r="K28" s="10">
        <v>207.255575950614</v>
      </c>
      <c r="L28" s="3">
        <f t="shared" si="5"/>
        <v>88.707481090971726</v>
      </c>
      <c r="M28" s="3">
        <f t="shared" si="6"/>
        <v>84.072728412470738</v>
      </c>
      <c r="N28" s="3">
        <f t="shared" ref="N28:N33" si="7">(J28-E28-G28)</f>
        <v>83.240423408500718</v>
      </c>
      <c r="O28" s="3">
        <f t="shared" ref="O28:O33" si="8">(K28-F28-G28)</f>
        <v>80.81037650932673</v>
      </c>
      <c r="P28" s="16">
        <f t="shared" ref="P28:P33" si="9">(L28+M28+N28+O28)/4</f>
        <v>84.207752355317467</v>
      </c>
    </row>
    <row r="29" spans="1:16" x14ac:dyDescent="0.25">
      <c r="A29" t="s">
        <v>11</v>
      </c>
      <c r="B29">
        <v>34.905319895629297</v>
      </c>
      <c r="C29">
        <v>11.2682738745265</v>
      </c>
      <c r="D29" s="3">
        <v>11.1841406676281</v>
      </c>
      <c r="E29" s="3">
        <v>11.0258072177275</v>
      </c>
      <c r="F29">
        <v>11.0649394160403</v>
      </c>
      <c r="G29" s="3">
        <v>3.4322229428683699</v>
      </c>
      <c r="H29" s="10">
        <v>104.699721246761</v>
      </c>
      <c r="I29" s="10">
        <v>103.176413636536</v>
      </c>
      <c r="J29" s="10">
        <v>100.929154780147</v>
      </c>
      <c r="K29" s="10">
        <v>95.117645530865104</v>
      </c>
      <c r="L29" s="3">
        <f t="shared" si="5"/>
        <v>89.999224429366137</v>
      </c>
      <c r="M29" s="3">
        <f t="shared" si="6"/>
        <v>88.560050026039534</v>
      </c>
      <c r="N29" s="3">
        <f t="shared" si="7"/>
        <v>86.471124619551134</v>
      </c>
      <c r="O29" s="3">
        <f t="shared" si="8"/>
        <v>80.620483171956437</v>
      </c>
      <c r="P29" s="16">
        <f t="shared" si="9"/>
        <v>86.412720561728307</v>
      </c>
    </row>
    <row r="30" spans="1:16" x14ac:dyDescent="0.25">
      <c r="A30" t="s">
        <v>12</v>
      </c>
      <c r="B30">
        <v>52.326840627060598</v>
      </c>
      <c r="C30">
        <v>64.767009309883903</v>
      </c>
      <c r="D30" s="3">
        <v>72.4037472078886</v>
      </c>
      <c r="E30" s="3">
        <v>78.781588723359107</v>
      </c>
      <c r="F30">
        <v>88.852265229373302</v>
      </c>
      <c r="G30" s="3">
        <v>3.4322229428683699</v>
      </c>
      <c r="H30" s="10">
        <v>164.52485036118699</v>
      </c>
      <c r="I30" s="10">
        <v>172.540658884236</v>
      </c>
      <c r="J30" s="10">
        <v>183.230999074528</v>
      </c>
      <c r="K30" s="10">
        <v>182.358312283896</v>
      </c>
      <c r="L30" s="3">
        <f t="shared" si="5"/>
        <v>96.325618108434725</v>
      </c>
      <c r="M30" s="3">
        <f t="shared" si="6"/>
        <v>96.704688733479031</v>
      </c>
      <c r="N30" s="3">
        <f t="shared" si="7"/>
        <v>101.01718740830053</v>
      </c>
      <c r="O30" s="3">
        <f t="shared" si="8"/>
        <v>90.073824111654332</v>
      </c>
      <c r="P30" s="16">
        <f t="shared" si="9"/>
        <v>96.030329590467161</v>
      </c>
    </row>
    <row r="31" spans="1:16" x14ac:dyDescent="0.25">
      <c r="A31" t="s">
        <v>1</v>
      </c>
      <c r="B31">
        <v>35.575733653136602</v>
      </c>
      <c r="C31">
        <v>13.7873021123293</v>
      </c>
      <c r="D31" s="3">
        <v>22.490014621644601</v>
      </c>
      <c r="E31" s="3">
        <v>37.305102812492102</v>
      </c>
      <c r="F31">
        <v>54.420109575413903</v>
      </c>
      <c r="G31" s="3">
        <v>3.4031658544935599</v>
      </c>
      <c r="H31" s="10">
        <v>103.10741371392299</v>
      </c>
      <c r="I31" s="10">
        <v>113.343025767809</v>
      </c>
      <c r="J31" s="10">
        <v>128.083347378882</v>
      </c>
      <c r="K31" s="10">
        <v>139.43136468744001</v>
      </c>
      <c r="L31" s="3">
        <f t="shared" si="5"/>
        <v>85.916945747100129</v>
      </c>
      <c r="M31" s="3">
        <f t="shared" si="6"/>
        <v>87.449845291670826</v>
      </c>
      <c r="N31" s="3">
        <f t="shared" si="7"/>
        <v>87.375078711896336</v>
      </c>
      <c r="O31" s="3">
        <f t="shared" si="8"/>
        <v>81.608089257532541</v>
      </c>
      <c r="P31" s="16">
        <f t="shared" si="9"/>
        <v>85.587489752049947</v>
      </c>
    </row>
    <row r="32" spans="1:16" x14ac:dyDescent="0.25">
      <c r="A32" t="s">
        <v>2</v>
      </c>
      <c r="B32">
        <v>33.100447415879003</v>
      </c>
      <c r="C32" s="3">
        <v>11.4811841212213</v>
      </c>
      <c r="D32" s="3">
        <v>10.6480205078108</v>
      </c>
      <c r="E32" s="3">
        <v>10.915173121256901</v>
      </c>
      <c r="F32">
        <v>11.0722959164007</v>
      </c>
      <c r="G32" s="3">
        <v>3.4400745046623098</v>
      </c>
      <c r="H32" s="10">
        <v>103.38036423672099</v>
      </c>
      <c r="I32" s="10">
        <v>103.99572480142</v>
      </c>
      <c r="J32" s="10">
        <v>99.234147304171998</v>
      </c>
      <c r="K32" s="10">
        <v>94.367099788090897</v>
      </c>
      <c r="L32" s="3">
        <f t="shared" si="5"/>
        <v>88.459105610837383</v>
      </c>
      <c r="M32" s="3">
        <f t="shared" si="6"/>
        <v>89.907629788946892</v>
      </c>
      <c r="N32" s="3">
        <f t="shared" si="7"/>
        <v>84.878899678252793</v>
      </c>
      <c r="O32" s="3">
        <f t="shared" si="8"/>
        <v>79.854729367027886</v>
      </c>
      <c r="P32" s="16">
        <f t="shared" si="9"/>
        <v>85.775091111266221</v>
      </c>
    </row>
    <row r="33" spans="1:16" x14ac:dyDescent="0.25">
      <c r="A33" t="s">
        <v>13</v>
      </c>
      <c r="B33">
        <v>34.768972609870602</v>
      </c>
      <c r="C33">
        <v>12.9621852923768</v>
      </c>
      <c r="D33">
        <v>15.323743060902</v>
      </c>
      <c r="E33">
        <v>37.042560603958101</v>
      </c>
      <c r="F33">
        <v>53.041429329361399</v>
      </c>
      <c r="G33" s="3">
        <v>3.4400745046623098</v>
      </c>
      <c r="H33" s="10">
        <v>101.70695238601699</v>
      </c>
      <c r="I33" s="10">
        <v>110.026416640646</v>
      </c>
      <c r="J33" s="10">
        <v>122.731095552444</v>
      </c>
      <c r="K33" s="10">
        <v>138.09521327147601</v>
      </c>
      <c r="L33" s="3">
        <f t="shared" si="5"/>
        <v>85.304692588977886</v>
      </c>
      <c r="M33" s="3">
        <f t="shared" si="6"/>
        <v>91.262599075081695</v>
      </c>
      <c r="N33" s="3">
        <f t="shared" si="7"/>
        <v>82.248460443823603</v>
      </c>
      <c r="O33" s="3">
        <f t="shared" si="8"/>
        <v>81.613709437452314</v>
      </c>
      <c r="P33" s="16">
        <f t="shared" si="9"/>
        <v>85.107365386333882</v>
      </c>
    </row>
    <row r="34" spans="1:16" x14ac:dyDescent="0.25">
      <c r="A34" s="15" t="s">
        <v>52</v>
      </c>
      <c r="B34" s="15">
        <f>SUM(B27:B33)/7</f>
        <v>39.007223301860243</v>
      </c>
      <c r="C34" s="15"/>
      <c r="D34" s="15"/>
      <c r="E34" s="15"/>
      <c r="F34" s="15"/>
      <c r="G34" s="15"/>
      <c r="H34" s="15">
        <v>125.7497103</v>
      </c>
      <c r="I34" s="15">
        <v>128.573508482931</v>
      </c>
      <c r="J34" s="15">
        <v>134.417065435768</v>
      </c>
      <c r="K34" s="15">
        <v>135.633717420675</v>
      </c>
      <c r="L34" s="15"/>
      <c r="M34" s="15"/>
      <c r="N34" s="15"/>
      <c r="O34" s="15"/>
      <c r="P34" s="15"/>
    </row>
    <row r="40" spans="1:16" x14ac:dyDescent="0.25">
      <c r="A40" s="37" t="s">
        <v>16</v>
      </c>
      <c r="B40" s="37"/>
    </row>
    <row r="41" spans="1:16" x14ac:dyDescent="0.25">
      <c r="A41" s="2" t="s">
        <v>0</v>
      </c>
      <c r="B41" s="8" t="s">
        <v>4</v>
      </c>
      <c r="C41" s="2" t="s">
        <v>5</v>
      </c>
      <c r="D41" s="2" t="s">
        <v>6</v>
      </c>
      <c r="E41" s="2" t="s">
        <v>7</v>
      </c>
      <c r="F41" s="2" t="s">
        <v>8</v>
      </c>
      <c r="G41" s="2" t="s">
        <v>14</v>
      </c>
      <c r="H41" s="9" t="s">
        <v>29</v>
      </c>
      <c r="I41" s="9" t="s">
        <v>30</v>
      </c>
      <c r="J41" s="9" t="s">
        <v>31</v>
      </c>
      <c r="K41" s="9" t="s">
        <v>32</v>
      </c>
      <c r="L41" s="2" t="s">
        <v>17</v>
      </c>
      <c r="M41" s="2" t="s">
        <v>18</v>
      </c>
      <c r="N41" s="2" t="s">
        <v>19</v>
      </c>
      <c r="O41" s="2" t="s">
        <v>20</v>
      </c>
      <c r="P41" s="2" t="s">
        <v>33</v>
      </c>
    </row>
    <row r="42" spans="1:16" x14ac:dyDescent="0.25">
      <c r="A42" t="s">
        <v>9</v>
      </c>
      <c r="B42">
        <v>309.75627683317703</v>
      </c>
      <c r="C42" s="3">
        <v>16.172406414180401</v>
      </c>
      <c r="D42">
        <v>16.584852244704901</v>
      </c>
      <c r="E42" s="3">
        <v>15.076120185435499</v>
      </c>
      <c r="F42">
        <v>15.3296778046866</v>
      </c>
      <c r="G42" s="3">
        <v>3.4243865973862802</v>
      </c>
      <c r="H42" s="10">
        <v>1266.3802028626401</v>
      </c>
      <c r="I42" s="10">
        <v>1239.2457168881199</v>
      </c>
      <c r="J42" s="10">
        <v>1312.1272076882999</v>
      </c>
      <c r="K42" s="10">
        <v>1330.2754645709399</v>
      </c>
      <c r="L42" s="3">
        <f t="shared" ref="L42:L48" si="10">(H42-C42-G42)</f>
        <v>1246.7834098510734</v>
      </c>
      <c r="M42" s="3">
        <f t="shared" ref="M42:M48" si="11">(I42-D42-G42)</f>
        <v>1219.2364780460287</v>
      </c>
      <c r="N42" s="3">
        <f>(J42-E42-G42)</f>
        <v>1293.6267009054782</v>
      </c>
      <c r="O42" s="3">
        <f>(K42-F42-G42)</f>
        <v>1311.5214001688671</v>
      </c>
      <c r="P42" s="4">
        <f>(L42+M42+N42+O42)/4</f>
        <v>1267.791997242862</v>
      </c>
    </row>
    <row r="43" spans="1:16" x14ac:dyDescent="0.25">
      <c r="A43" t="s">
        <v>10</v>
      </c>
      <c r="B43">
        <v>385.85945187496498</v>
      </c>
      <c r="C43" s="12">
        <v>152.29655436061199</v>
      </c>
      <c r="D43" s="11">
        <v>144.29762564570601</v>
      </c>
      <c r="E43" s="11">
        <v>160.05635477709001</v>
      </c>
      <c r="F43" s="13">
        <v>173.15498055168001</v>
      </c>
      <c r="G43" s="11">
        <v>3.4243865973862802</v>
      </c>
      <c r="H43" s="10">
        <v>1398.5665355409801</v>
      </c>
      <c r="I43" s="10">
        <v>1381.67841990958</v>
      </c>
      <c r="J43" s="10">
        <v>1465.4698619411599</v>
      </c>
      <c r="K43" s="10">
        <v>1479.3596455648601</v>
      </c>
      <c r="L43" s="11">
        <f t="shared" si="10"/>
        <v>1242.8455945829819</v>
      </c>
      <c r="M43" s="11">
        <f t="shared" si="11"/>
        <v>1233.9564076664878</v>
      </c>
      <c r="N43" s="11">
        <f t="shared" ref="N43:N48" si="12">(J43-E43-G43)</f>
        <v>1301.9891205666836</v>
      </c>
      <c r="O43" s="11">
        <f t="shared" ref="O43:O48" si="13">(K43-F43-G43)</f>
        <v>1302.7802784157939</v>
      </c>
      <c r="P43" s="14">
        <f t="shared" ref="P43:P48" si="14">(L43+M43+N43+O43)/4</f>
        <v>1270.3928503079869</v>
      </c>
    </row>
    <row r="44" spans="1:16" x14ac:dyDescent="0.25">
      <c r="A44" t="s">
        <v>11</v>
      </c>
      <c r="B44">
        <v>302.57200193169399</v>
      </c>
      <c r="C44" s="3">
        <v>15.7964597682774</v>
      </c>
      <c r="D44" s="3">
        <v>15.5367968936068</v>
      </c>
      <c r="E44" s="3">
        <v>15.848920827399199</v>
      </c>
      <c r="F44">
        <v>16.407635592953898</v>
      </c>
      <c r="G44" s="3">
        <v>3.4322229428683699</v>
      </c>
      <c r="H44" s="10">
        <v>1270.54629717892</v>
      </c>
      <c r="I44" s="10">
        <v>1241.23775242325</v>
      </c>
      <c r="J44" s="10">
        <v>1301.87346783812</v>
      </c>
      <c r="K44" s="10">
        <v>1312.7505429759001</v>
      </c>
      <c r="L44" s="3">
        <f t="shared" si="10"/>
        <v>1251.3176144677743</v>
      </c>
      <c r="M44" s="3">
        <f t="shared" si="11"/>
        <v>1222.2687325867748</v>
      </c>
      <c r="N44" s="3">
        <f t="shared" si="12"/>
        <v>1282.5923240678524</v>
      </c>
      <c r="O44" s="3">
        <f t="shared" si="13"/>
        <v>1292.9106844400778</v>
      </c>
      <c r="P44" s="4">
        <f t="shared" si="14"/>
        <v>1262.2723388906197</v>
      </c>
    </row>
    <row r="45" spans="1:16" x14ac:dyDescent="0.25">
      <c r="A45" t="s">
        <v>12</v>
      </c>
      <c r="B45">
        <v>320.56131679487402</v>
      </c>
      <c r="C45" s="3">
        <v>91.448995502374501</v>
      </c>
      <c r="D45" s="3">
        <v>99.246079891339605</v>
      </c>
      <c r="E45" s="3">
        <v>119.293467306038</v>
      </c>
      <c r="F45">
        <v>117.303567854397</v>
      </c>
      <c r="G45" s="3">
        <v>3.4322229428683699</v>
      </c>
      <c r="H45" s="10">
        <v>1353.1058268342799</v>
      </c>
      <c r="I45" s="10">
        <v>1340.8253010552301</v>
      </c>
      <c r="J45" s="10">
        <v>1432.73518285777</v>
      </c>
      <c r="K45" s="10">
        <v>1428.9955440608901</v>
      </c>
      <c r="L45" s="3">
        <f t="shared" si="10"/>
        <v>1258.224608389037</v>
      </c>
      <c r="M45" s="3">
        <f t="shared" si="11"/>
        <v>1238.1469982210222</v>
      </c>
      <c r="N45" s="3">
        <f t="shared" si="12"/>
        <v>1310.0094926088639</v>
      </c>
      <c r="O45" s="3">
        <f t="shared" si="13"/>
        <v>1308.2597532636248</v>
      </c>
      <c r="P45" s="4">
        <f t="shared" si="14"/>
        <v>1278.6602131206369</v>
      </c>
    </row>
    <row r="46" spans="1:16" x14ac:dyDescent="0.25">
      <c r="A46" t="s">
        <v>1</v>
      </c>
      <c r="B46">
        <v>308.79380874664997</v>
      </c>
      <c r="C46" s="3">
        <v>17.691985893020401</v>
      </c>
      <c r="D46" s="3">
        <v>30.922681124659299</v>
      </c>
      <c r="E46" s="3">
        <v>53.687758967397997</v>
      </c>
      <c r="F46">
        <v>76.816073135976595</v>
      </c>
      <c r="G46" s="3">
        <v>3.4031658544935599</v>
      </c>
      <c r="H46" s="10">
        <v>1258.5168948821799</v>
      </c>
      <c r="I46" s="10">
        <v>1262.7569204172701</v>
      </c>
      <c r="J46" s="10">
        <v>1337.6830662981699</v>
      </c>
      <c r="K46" s="10">
        <v>1377.28891171451</v>
      </c>
      <c r="L46" s="3">
        <f t="shared" si="10"/>
        <v>1237.4217431346658</v>
      </c>
      <c r="M46" s="3">
        <f t="shared" si="11"/>
        <v>1228.4310734381172</v>
      </c>
      <c r="N46" s="3">
        <f t="shared" si="12"/>
        <v>1280.5921414762784</v>
      </c>
      <c r="O46" s="3">
        <f t="shared" si="13"/>
        <v>1297.0696727240397</v>
      </c>
      <c r="P46" s="4">
        <f t="shared" si="14"/>
        <v>1260.8786576932753</v>
      </c>
    </row>
    <row r="47" spans="1:16" x14ac:dyDescent="0.25">
      <c r="A47" t="s">
        <v>2</v>
      </c>
      <c r="B47">
        <v>307.16703915205102</v>
      </c>
      <c r="C47" s="3">
        <v>15.552245469805801</v>
      </c>
      <c r="D47" s="3">
        <v>15.6987551942034</v>
      </c>
      <c r="E47" s="3">
        <v>15.9379273775171</v>
      </c>
      <c r="F47">
        <v>14.6978477089423</v>
      </c>
      <c r="G47" s="3">
        <v>3.4400745046623098</v>
      </c>
      <c r="H47" s="10">
        <v>1262.12741147269</v>
      </c>
      <c r="I47" s="10">
        <v>1247.39613110657</v>
      </c>
      <c r="J47" s="10">
        <v>1312.9196750561</v>
      </c>
      <c r="K47" s="10">
        <v>1309.10656011622</v>
      </c>
      <c r="L47" s="3">
        <f t="shared" si="10"/>
        <v>1243.135091498222</v>
      </c>
      <c r="M47" s="3">
        <f t="shared" si="11"/>
        <v>1228.2573014077043</v>
      </c>
      <c r="N47" s="3">
        <f t="shared" si="12"/>
        <v>1293.5416731739206</v>
      </c>
      <c r="O47" s="3">
        <f t="shared" si="13"/>
        <v>1290.9686379026152</v>
      </c>
      <c r="P47" s="4">
        <f t="shared" si="14"/>
        <v>1263.9756759956156</v>
      </c>
    </row>
    <row r="48" spans="1:16" x14ac:dyDescent="0.25">
      <c r="A48" t="s">
        <v>13</v>
      </c>
      <c r="B48">
        <v>301.47144548476598</v>
      </c>
      <c r="C48" s="3">
        <v>15.354518245541801</v>
      </c>
      <c r="D48">
        <v>26.029806109409702</v>
      </c>
      <c r="E48">
        <v>52.645299658298597</v>
      </c>
      <c r="F48">
        <v>73.765081063023601</v>
      </c>
      <c r="G48" s="3">
        <v>3.4400745046623098</v>
      </c>
      <c r="H48" s="10">
        <v>1269.7002746903299</v>
      </c>
      <c r="I48" s="10">
        <v>1271.2879097467801</v>
      </c>
      <c r="J48" s="10">
        <v>1357.9602965453701</v>
      </c>
      <c r="K48" s="10">
        <v>1372.6979691172101</v>
      </c>
      <c r="L48" s="3">
        <f t="shared" si="10"/>
        <v>1250.9056819401258</v>
      </c>
      <c r="M48" s="3">
        <f t="shared" si="11"/>
        <v>1241.818029132708</v>
      </c>
      <c r="N48" s="3">
        <f t="shared" si="12"/>
        <v>1301.8749223824091</v>
      </c>
      <c r="O48" s="3">
        <f t="shared" si="13"/>
        <v>1295.492813549524</v>
      </c>
      <c r="P48" s="4">
        <f t="shared" si="14"/>
        <v>1272.5228617511916</v>
      </c>
    </row>
    <row r="49" spans="1:16" x14ac:dyDescent="0.25">
      <c r="A49" s="15" t="s">
        <v>52</v>
      </c>
      <c r="B49" s="15">
        <f>SUM(B42:B48)/7</f>
        <v>319.45447725973958</v>
      </c>
      <c r="C49" s="15"/>
      <c r="D49" s="15"/>
      <c r="E49" s="15"/>
      <c r="F49" s="15"/>
      <c r="G49" s="15"/>
      <c r="H49" s="15">
        <v>1297.3683296223201</v>
      </c>
      <c r="I49" s="15">
        <v>1282.61406826794</v>
      </c>
      <c r="J49" s="15">
        <v>1360.455627</v>
      </c>
      <c r="K49" s="15">
        <v>1372.5491509999999</v>
      </c>
      <c r="L49" s="15"/>
      <c r="M49" s="15"/>
      <c r="N49" s="15"/>
      <c r="O49" s="15"/>
      <c r="P49" s="15"/>
    </row>
    <row r="55" spans="1:16" x14ac:dyDescent="0.25">
      <c r="D55" s="5"/>
      <c r="F55" s="5"/>
      <c r="G55" s="5"/>
    </row>
    <row r="56" spans="1:16" x14ac:dyDescent="0.25">
      <c r="B56" s="5"/>
      <c r="D56" s="5"/>
      <c r="F56" s="5"/>
      <c r="G56" s="5"/>
    </row>
    <row r="57" spans="1:16" x14ac:dyDescent="0.25">
      <c r="A57" s="38" t="s">
        <v>53</v>
      </c>
      <c r="B57" s="38"/>
      <c r="C57" s="38"/>
      <c r="D57" s="38"/>
      <c r="E57" s="38"/>
      <c r="F57" s="38"/>
      <c r="G57" s="5"/>
    </row>
    <row r="58" spans="1:16" x14ac:dyDescent="0.25">
      <c r="D58" s="5"/>
      <c r="F58" s="5"/>
      <c r="G58" s="5"/>
      <c r="N58" s="3"/>
      <c r="O58" s="3"/>
    </row>
    <row r="59" spans="1:16" x14ac:dyDescent="0.25">
      <c r="A59" s="2" t="s">
        <v>0</v>
      </c>
      <c r="B59" s="2" t="s">
        <v>36</v>
      </c>
      <c r="C59" s="2" t="s">
        <v>35</v>
      </c>
      <c r="D59" s="2" t="s">
        <v>34</v>
      </c>
      <c r="E59" s="2" t="s">
        <v>38</v>
      </c>
      <c r="F59" s="6" t="s">
        <v>37</v>
      </c>
      <c r="G59" s="17" t="s">
        <v>72</v>
      </c>
      <c r="O59" s="3"/>
    </row>
    <row r="60" spans="1:16" x14ac:dyDescent="0.25">
      <c r="A60" t="s">
        <v>9</v>
      </c>
      <c r="B60">
        <v>4.0050931003851096</v>
      </c>
      <c r="C60">
        <v>1</v>
      </c>
      <c r="D60">
        <v>1.7750263214111299</v>
      </c>
      <c r="E60" s="1">
        <v>4.3846666812896702E-3</v>
      </c>
      <c r="F60" s="7">
        <v>1.68681144714355</v>
      </c>
      <c r="G60">
        <v>0.32553672790527299</v>
      </c>
      <c r="O60" s="3"/>
    </row>
    <row r="61" spans="1:16" x14ac:dyDescent="0.25">
      <c r="A61" t="s">
        <v>10</v>
      </c>
      <c r="B61">
        <v>54.5115243820917</v>
      </c>
      <c r="C61">
        <v>1000</v>
      </c>
      <c r="D61">
        <v>22.880792617797798</v>
      </c>
      <c r="E61" s="1">
        <v>1.77403353154659</v>
      </c>
      <c r="F61" s="7">
        <v>18.5704231262207</v>
      </c>
      <c r="G61">
        <v>13.873553276061999</v>
      </c>
      <c r="O61" s="3"/>
    </row>
    <row r="62" spans="1:16" x14ac:dyDescent="0.25">
      <c r="A62" t="s">
        <v>11</v>
      </c>
      <c r="B62">
        <v>4.0775397573838204</v>
      </c>
      <c r="C62">
        <v>1</v>
      </c>
      <c r="D62">
        <v>0.46491622924804599</v>
      </c>
      <c r="E62" s="1">
        <v>4.3846666812896702E-3</v>
      </c>
      <c r="F62" s="7">
        <v>0.40674209594726501</v>
      </c>
      <c r="G62">
        <v>0.16608238220214799</v>
      </c>
      <c r="O62" s="3"/>
    </row>
    <row r="63" spans="1:16" x14ac:dyDescent="0.25">
      <c r="A63" t="s">
        <v>12</v>
      </c>
      <c r="B63">
        <v>47.1892843685389</v>
      </c>
      <c r="C63">
        <v>1000</v>
      </c>
      <c r="D63">
        <v>15.479326248168899</v>
      </c>
      <c r="E63" s="1">
        <v>1.77403353154659</v>
      </c>
      <c r="F63" s="7">
        <v>12.6996040344238</v>
      </c>
      <c r="G63">
        <v>9.1446161270141602</v>
      </c>
      <c r="N63" s="3"/>
      <c r="O63" s="3"/>
    </row>
    <row r="64" spans="1:16" x14ac:dyDescent="0.25">
      <c r="A64" t="s">
        <v>1</v>
      </c>
      <c r="B64">
        <v>11.208388920637001</v>
      </c>
      <c r="C64">
        <v>100</v>
      </c>
      <c r="D64">
        <v>3.7736892700195299</v>
      </c>
      <c r="E64" s="1">
        <v>0.20086206495761799</v>
      </c>
      <c r="F64" s="7">
        <v>3.41200828552246</v>
      </c>
      <c r="G64">
        <v>1.4037609100341699</v>
      </c>
      <c r="O64" s="3"/>
    </row>
    <row r="65" spans="1:9" x14ac:dyDescent="0.25">
      <c r="A65" t="s">
        <v>2</v>
      </c>
      <c r="B65">
        <v>4.1074357013928502</v>
      </c>
      <c r="C65">
        <v>1</v>
      </c>
      <c r="D65">
        <v>0.19145011901855399</v>
      </c>
      <c r="E65" s="1">
        <v>4.3846666812896702E-3</v>
      </c>
      <c r="F65" s="7">
        <v>0.13566017150878901</v>
      </c>
      <c r="G65">
        <v>0.12984275817870999</v>
      </c>
    </row>
    <row r="66" spans="1:9" x14ac:dyDescent="0.25">
      <c r="A66" t="s">
        <v>13</v>
      </c>
      <c r="B66">
        <v>9.8390835440481492</v>
      </c>
      <c r="C66">
        <v>100</v>
      </c>
      <c r="D66">
        <v>3.9923191070556601</v>
      </c>
      <c r="E66" s="1">
        <v>0.20086206495761799</v>
      </c>
      <c r="F66" s="7">
        <v>3.5090446472167902</v>
      </c>
      <c r="G66">
        <v>1.2818574905395499</v>
      </c>
    </row>
    <row r="67" spans="1:9" x14ac:dyDescent="0.25">
      <c r="I67" s="5"/>
    </row>
    <row r="68" spans="1:9" x14ac:dyDescent="0.25">
      <c r="I68" s="5"/>
    </row>
    <row r="69" spans="1:9" x14ac:dyDescent="0.25">
      <c r="A69" s="2" t="s">
        <v>0</v>
      </c>
      <c r="B69" s="2" t="s">
        <v>39</v>
      </c>
      <c r="C69" s="2" t="s">
        <v>35</v>
      </c>
      <c r="D69" s="2" t="s">
        <v>40</v>
      </c>
      <c r="E69" s="2" t="s">
        <v>38</v>
      </c>
      <c r="F69" s="6" t="s">
        <v>37</v>
      </c>
      <c r="G69" s="17" t="s">
        <v>72</v>
      </c>
    </row>
    <row r="70" spans="1:9" x14ac:dyDescent="0.25">
      <c r="A70" t="s">
        <v>9</v>
      </c>
      <c r="B70">
        <v>4.0353076186722596</v>
      </c>
      <c r="C70">
        <v>1</v>
      </c>
      <c r="D70">
        <v>1.78432464599609</v>
      </c>
      <c r="E70" s="1">
        <v>4.3548643589019697E-3</v>
      </c>
      <c r="F70" s="7">
        <v>1.6944408416748</v>
      </c>
      <c r="G70">
        <v>0.32553672790527299</v>
      </c>
    </row>
    <row r="71" spans="1:9" x14ac:dyDescent="0.25">
      <c r="A71" t="s">
        <v>10</v>
      </c>
      <c r="B71">
        <v>48.675797406364801</v>
      </c>
      <c r="C71">
        <v>1000</v>
      </c>
      <c r="D71">
        <v>20.764112472534102</v>
      </c>
      <c r="E71" s="1">
        <v>1.6100797802209801</v>
      </c>
      <c r="F71" s="7">
        <v>16.4527893066406</v>
      </c>
      <c r="G71">
        <v>13.873553276061999</v>
      </c>
    </row>
    <row r="72" spans="1:9" x14ac:dyDescent="0.25">
      <c r="A72" t="s">
        <v>11</v>
      </c>
      <c r="B72">
        <v>4.1707241313894299</v>
      </c>
      <c r="C72">
        <v>1</v>
      </c>
      <c r="D72">
        <v>0.43320655822753901</v>
      </c>
      <c r="E72" s="1">
        <v>4.3548643589019697E-3</v>
      </c>
      <c r="F72" s="7">
        <v>0.37431716918945301</v>
      </c>
      <c r="G72">
        <v>0.16608238220214799</v>
      </c>
    </row>
    <row r="73" spans="1:9" x14ac:dyDescent="0.25">
      <c r="A73" t="s">
        <v>12</v>
      </c>
      <c r="B73">
        <v>44.808815805147901</v>
      </c>
      <c r="C73">
        <v>1000</v>
      </c>
      <c r="D73">
        <v>14.152050018310501</v>
      </c>
      <c r="E73" s="1">
        <v>1.6100797802209801</v>
      </c>
      <c r="F73" s="7">
        <v>11.4581584930419</v>
      </c>
      <c r="G73">
        <v>9.1446161270141602</v>
      </c>
    </row>
    <row r="74" spans="1:9" x14ac:dyDescent="0.25">
      <c r="A74" t="s">
        <v>1</v>
      </c>
      <c r="B74">
        <v>9.8086684739508598</v>
      </c>
      <c r="C74">
        <v>100</v>
      </c>
      <c r="D74">
        <v>3.6182403564453098</v>
      </c>
      <c r="E74" s="1">
        <v>0.170979648828506</v>
      </c>
      <c r="F74" s="7">
        <v>3.2749176025390598</v>
      </c>
      <c r="G74">
        <v>1.4037609100341699</v>
      </c>
    </row>
    <row r="75" spans="1:9" x14ac:dyDescent="0.25">
      <c r="A75" t="s">
        <v>2</v>
      </c>
      <c r="B75">
        <v>4.0890994634011797</v>
      </c>
      <c r="C75">
        <v>1</v>
      </c>
      <c r="D75">
        <v>0.30469894409179599</v>
      </c>
      <c r="E75" s="1">
        <v>4.3548643589019697E-3</v>
      </c>
      <c r="F75" s="7">
        <v>0.24819374084472601</v>
      </c>
      <c r="G75">
        <v>0.12984275817870999</v>
      </c>
    </row>
    <row r="76" spans="1:9" x14ac:dyDescent="0.25">
      <c r="A76" t="s">
        <v>13</v>
      </c>
      <c r="B76">
        <v>8.6418529562595499</v>
      </c>
      <c r="C76">
        <v>100</v>
      </c>
      <c r="D76">
        <v>3.2210350036621</v>
      </c>
      <c r="E76" s="1">
        <v>0.170979648828506</v>
      </c>
      <c r="F76" s="7">
        <v>2.8343200683593701</v>
      </c>
      <c r="G76">
        <v>1.2818574905395499</v>
      </c>
    </row>
    <row r="79" spans="1:9" x14ac:dyDescent="0.25">
      <c r="A79" s="2" t="s">
        <v>0</v>
      </c>
      <c r="B79" s="2" t="s">
        <v>41</v>
      </c>
      <c r="C79" s="2" t="s">
        <v>35</v>
      </c>
      <c r="D79" s="2" t="s">
        <v>42</v>
      </c>
      <c r="E79" s="2" t="s">
        <v>38</v>
      </c>
      <c r="F79" s="6" t="s">
        <v>37</v>
      </c>
      <c r="G79" s="17" t="s">
        <v>72</v>
      </c>
    </row>
    <row r="80" spans="1:9" x14ac:dyDescent="0.25">
      <c r="A80" t="s">
        <v>9</v>
      </c>
      <c r="B80">
        <v>4.02605646143118</v>
      </c>
      <c r="C80">
        <v>1</v>
      </c>
      <c r="D80">
        <v>1.7490386962890601</v>
      </c>
      <c r="E80" s="1">
        <v>3.89851629734039E-3</v>
      </c>
      <c r="F80" s="7">
        <v>1.66249275207519</v>
      </c>
      <c r="G80">
        <v>0.32553672790527299</v>
      </c>
    </row>
    <row r="81" spans="1:8" x14ac:dyDescent="0.25">
      <c r="A81" t="s">
        <v>10</v>
      </c>
      <c r="B81">
        <v>45.799138335569502</v>
      </c>
      <c r="C81">
        <v>1000</v>
      </c>
      <c r="D81">
        <v>19.1633701324462</v>
      </c>
      <c r="E81" s="1">
        <v>1.62918865680694</v>
      </c>
      <c r="F81" s="7">
        <v>14.9691104888916</v>
      </c>
      <c r="G81">
        <v>13.873553276061999</v>
      </c>
    </row>
    <row r="82" spans="1:8" x14ac:dyDescent="0.25">
      <c r="A82" t="s">
        <v>11</v>
      </c>
      <c r="B82">
        <v>4.1628384834501704</v>
      </c>
      <c r="C82">
        <v>1</v>
      </c>
      <c r="D82">
        <v>0.53834915161132801</v>
      </c>
      <c r="E82" s="1">
        <v>3.89851629734039E-3</v>
      </c>
      <c r="F82" s="7">
        <v>0.39219856262206998</v>
      </c>
      <c r="G82">
        <v>0.16608238220214799</v>
      </c>
    </row>
    <row r="83" spans="1:8" x14ac:dyDescent="0.25">
      <c r="A83" t="s">
        <v>12</v>
      </c>
      <c r="B83">
        <v>42.259016332980003</v>
      </c>
      <c r="C83">
        <v>1000</v>
      </c>
      <c r="D83">
        <v>12.4282836914062</v>
      </c>
      <c r="E83" s="1">
        <v>1.62918865680694</v>
      </c>
      <c r="F83" s="7">
        <v>9.6678733825683594</v>
      </c>
      <c r="G83">
        <v>9.1446161270141602</v>
      </c>
    </row>
    <row r="84" spans="1:8" x14ac:dyDescent="0.25">
      <c r="A84" t="s">
        <v>1</v>
      </c>
      <c r="B84">
        <v>8.8410975673074592</v>
      </c>
      <c r="C84">
        <v>100</v>
      </c>
      <c r="D84">
        <v>2.7823448181152299</v>
      </c>
      <c r="E84" s="1">
        <v>0.16103312373161299</v>
      </c>
      <c r="F84" s="7">
        <v>2.42781639099121</v>
      </c>
      <c r="G84">
        <v>1.4037609100341699</v>
      </c>
    </row>
    <row r="85" spans="1:8" x14ac:dyDescent="0.25">
      <c r="A85" t="s">
        <v>2</v>
      </c>
      <c r="B85">
        <v>4.1352269590162702</v>
      </c>
      <c r="C85">
        <v>1</v>
      </c>
      <c r="D85">
        <v>0.392913818359375</v>
      </c>
      <c r="E85" s="1">
        <v>3.89851629734039E-3</v>
      </c>
      <c r="F85" s="7">
        <v>0.32162666320800698</v>
      </c>
      <c r="G85">
        <v>0.12984275817870999</v>
      </c>
    </row>
    <row r="86" spans="1:8" x14ac:dyDescent="0.25">
      <c r="A86" t="s">
        <v>13</v>
      </c>
      <c r="B86">
        <v>7.6918990911074498</v>
      </c>
      <c r="C86">
        <v>100</v>
      </c>
      <c r="D86">
        <v>2.16484069824218</v>
      </c>
      <c r="E86" s="1">
        <v>0.16103312373161299</v>
      </c>
      <c r="F86" s="7">
        <v>1.79862976074218</v>
      </c>
      <c r="G86">
        <v>1.2818574905395499</v>
      </c>
    </row>
    <row r="89" spans="1:8" x14ac:dyDescent="0.25">
      <c r="A89" s="2" t="s">
        <v>0</v>
      </c>
      <c r="B89" s="2" t="s">
        <v>44</v>
      </c>
      <c r="C89" s="2" t="s">
        <v>35</v>
      </c>
      <c r="D89" s="2" t="s">
        <v>43</v>
      </c>
      <c r="E89" s="2" t="s">
        <v>38</v>
      </c>
      <c r="F89" s="6" t="s">
        <v>37</v>
      </c>
      <c r="G89" s="17" t="s">
        <v>70</v>
      </c>
      <c r="H89" s="17" t="s">
        <v>71</v>
      </c>
    </row>
    <row r="90" spans="1:8" x14ac:dyDescent="0.25">
      <c r="A90" t="s">
        <v>9</v>
      </c>
      <c r="B90">
        <v>3.9895902707595199</v>
      </c>
      <c r="C90">
        <v>1</v>
      </c>
      <c r="D90">
        <v>1.77168846130371</v>
      </c>
      <c r="E90" s="1">
        <v>4.3399631977081299E-3</v>
      </c>
      <c r="F90" s="7">
        <v>1.6837120056152299</v>
      </c>
      <c r="G90">
        <v>0.32553672790527299</v>
      </c>
      <c r="H90">
        <v>0.48804283142089799</v>
      </c>
    </row>
    <row r="91" spans="1:8" x14ac:dyDescent="0.25">
      <c r="A91" t="s">
        <v>10</v>
      </c>
      <c r="B91">
        <v>41.8466371823881</v>
      </c>
      <c r="C91">
        <v>1000</v>
      </c>
      <c r="D91">
        <v>16.952753067016602</v>
      </c>
      <c r="E91" s="1">
        <v>1.54353864490985</v>
      </c>
      <c r="F91" s="7">
        <v>12.8097534179687</v>
      </c>
      <c r="G91">
        <v>13.873553276061999</v>
      </c>
      <c r="H91">
        <v>24.1720676422119</v>
      </c>
    </row>
    <row r="92" spans="1:8" x14ac:dyDescent="0.25">
      <c r="A92" t="s">
        <v>11</v>
      </c>
      <c r="B92">
        <v>4.0147860416504804</v>
      </c>
      <c r="C92">
        <v>1</v>
      </c>
      <c r="D92">
        <v>0.55480003356933505</v>
      </c>
      <c r="E92" s="1">
        <v>4.3399631977081299E-3</v>
      </c>
      <c r="F92" s="7">
        <v>0.47087669372558499</v>
      </c>
      <c r="G92">
        <v>0.16608238220214799</v>
      </c>
      <c r="H92">
        <v>0.47612190246581998</v>
      </c>
    </row>
    <row r="93" spans="1:8" x14ac:dyDescent="0.25">
      <c r="A93" t="s">
        <v>12</v>
      </c>
      <c r="B93">
        <v>38.3633321341607</v>
      </c>
      <c r="C93">
        <v>1000</v>
      </c>
      <c r="D93">
        <v>11.2018585205078</v>
      </c>
      <c r="E93" s="1">
        <v>1.54353864490985</v>
      </c>
      <c r="F93" s="7">
        <v>8.54420661926269</v>
      </c>
      <c r="G93">
        <v>9.1446161270141602</v>
      </c>
      <c r="H93">
        <v>20.414829254150298</v>
      </c>
    </row>
    <row r="94" spans="1:8" x14ac:dyDescent="0.25">
      <c r="A94" t="s">
        <v>1</v>
      </c>
      <c r="B94">
        <v>7.9163517599320397</v>
      </c>
      <c r="C94">
        <v>100</v>
      </c>
      <c r="D94">
        <v>1.68442726135253</v>
      </c>
      <c r="E94" s="1">
        <v>0.159744173288345</v>
      </c>
      <c r="F94" s="7">
        <v>1.3589859008789</v>
      </c>
      <c r="G94">
        <v>1.4037609100341699</v>
      </c>
      <c r="H94">
        <v>2.92348861694335</v>
      </c>
    </row>
    <row r="95" spans="1:8" x14ac:dyDescent="0.25">
      <c r="A95" t="s">
        <v>2</v>
      </c>
      <c r="B95">
        <v>4.0209035037549397</v>
      </c>
      <c r="C95">
        <v>1</v>
      </c>
      <c r="D95">
        <v>0.32210350036620999</v>
      </c>
      <c r="E95" s="1">
        <v>4.3399631977081299E-3</v>
      </c>
      <c r="F95" s="7">
        <v>0.25033950805664001</v>
      </c>
      <c r="G95">
        <v>0.12984275817870999</v>
      </c>
      <c r="H95">
        <v>0.42486190795898399</v>
      </c>
    </row>
    <row r="96" spans="1:8" x14ac:dyDescent="0.25">
      <c r="A96" t="s">
        <v>13</v>
      </c>
      <c r="B96">
        <v>6.9167933755607498</v>
      </c>
      <c r="C96">
        <v>100</v>
      </c>
      <c r="D96">
        <v>1.6908645629882799</v>
      </c>
      <c r="E96" s="1">
        <v>0.159744173288345</v>
      </c>
      <c r="F96" s="7">
        <v>1.34897232055664</v>
      </c>
      <c r="G96">
        <v>1.2818574905395499</v>
      </c>
      <c r="H96">
        <v>2.4752616882324201</v>
      </c>
    </row>
    <row r="109" spans="1:13" x14ac:dyDescent="0.25">
      <c r="A109" s="2" t="s">
        <v>0</v>
      </c>
      <c r="B109" s="9" t="s">
        <v>59</v>
      </c>
      <c r="C109" s="9" t="s">
        <v>60</v>
      </c>
      <c r="D109" s="9" t="s">
        <v>61</v>
      </c>
      <c r="E109" s="9" t="s">
        <v>62</v>
      </c>
      <c r="F109" s="9" t="s">
        <v>63</v>
      </c>
      <c r="G109" s="9" t="s">
        <v>64</v>
      </c>
      <c r="H109" s="9" t="s">
        <v>65</v>
      </c>
      <c r="I109" s="9" t="s">
        <v>66</v>
      </c>
      <c r="J109" s="2" t="s">
        <v>58</v>
      </c>
      <c r="K109" s="2" t="s">
        <v>67</v>
      </c>
      <c r="L109" s="2" t="s">
        <v>68</v>
      </c>
      <c r="M109" s="2" t="s">
        <v>69</v>
      </c>
    </row>
    <row r="110" spans="1:13" x14ac:dyDescent="0.25">
      <c r="A110" t="s">
        <v>9</v>
      </c>
      <c r="B110" s="10">
        <v>3.9895902707595199</v>
      </c>
      <c r="C110" s="10">
        <v>4.02605646143118</v>
      </c>
      <c r="D110" s="10">
        <v>4.0353076186722596</v>
      </c>
      <c r="E110" s="10">
        <v>4.0050931003851096</v>
      </c>
      <c r="F110" s="10">
        <v>104.206596222385</v>
      </c>
      <c r="G110" s="10">
        <v>103.825935221908</v>
      </c>
      <c r="H110" s="10">
        <v>100.11177985049</v>
      </c>
      <c r="I110" s="10">
        <v>93.901651246207095</v>
      </c>
      <c r="J110">
        <f>F110-B110</f>
        <v>100.21700595162548</v>
      </c>
      <c r="K110">
        <f>G110-C110</f>
        <v>99.799878760476815</v>
      </c>
      <c r="L110">
        <f>H110-D110</f>
        <v>96.076472231817732</v>
      </c>
      <c r="M110">
        <f>I110-E110</f>
        <v>89.896558145821984</v>
      </c>
    </row>
    <row r="111" spans="1:13" x14ac:dyDescent="0.25">
      <c r="A111" t="s">
        <v>10</v>
      </c>
      <c r="B111" s="10">
        <v>41.8466371823881</v>
      </c>
      <c r="C111" s="10">
        <v>45.799138335569502</v>
      </c>
      <c r="D111" s="10">
        <v>48.675797406364801</v>
      </c>
      <c r="E111" s="10">
        <v>54.5115243820917</v>
      </c>
      <c r="F111" s="10">
        <v>198.878516435623</v>
      </c>
      <c r="G111" s="10">
        <v>193.56502606161001</v>
      </c>
      <c r="H111" s="10">
        <v>204.52682309183899</v>
      </c>
      <c r="I111" s="10">
        <v>207.255575950614</v>
      </c>
      <c r="J111">
        <f t="shared" ref="J111:J116" si="15">F111-B111</f>
        <v>157.03187925323491</v>
      </c>
      <c r="K111">
        <f t="shared" ref="K111:K116" si="16">G111-C111</f>
        <v>147.76588772604052</v>
      </c>
      <c r="L111">
        <f t="shared" ref="L111:L116" si="17">H111-D111</f>
        <v>155.85102568547418</v>
      </c>
      <c r="M111">
        <f t="shared" ref="M111:M116" si="18">I111-E111</f>
        <v>152.74405156852231</v>
      </c>
    </row>
    <row r="112" spans="1:13" x14ac:dyDescent="0.25">
      <c r="A112" t="s">
        <v>11</v>
      </c>
      <c r="B112" s="10">
        <v>4.0147860416504804</v>
      </c>
      <c r="C112" s="10">
        <v>4.1628384834501704</v>
      </c>
      <c r="D112" s="10">
        <v>4.1707241313894299</v>
      </c>
      <c r="E112" s="10">
        <v>4.0775397573838204</v>
      </c>
      <c r="F112" s="10">
        <v>104.699721246761</v>
      </c>
      <c r="G112" s="10">
        <v>103.176413636536</v>
      </c>
      <c r="H112" s="10">
        <v>100.929154780147</v>
      </c>
      <c r="I112" s="10">
        <v>95.117645530865104</v>
      </c>
      <c r="J112">
        <f t="shared" si="15"/>
        <v>100.68493520511052</v>
      </c>
      <c r="K112">
        <f t="shared" si="16"/>
        <v>99.013575153085824</v>
      </c>
      <c r="L112">
        <f t="shared" si="17"/>
        <v>96.758430648757567</v>
      </c>
      <c r="M112">
        <f t="shared" si="18"/>
        <v>91.040105773481287</v>
      </c>
    </row>
    <row r="113" spans="1:13" x14ac:dyDescent="0.25">
      <c r="A113" t="s">
        <v>12</v>
      </c>
      <c r="B113" s="10">
        <v>38.3633321341607</v>
      </c>
      <c r="C113" s="10">
        <v>42.259016332980003</v>
      </c>
      <c r="D113" s="10">
        <v>44.808815805147901</v>
      </c>
      <c r="E113" s="10">
        <v>47.1892843685389</v>
      </c>
      <c r="F113" s="10">
        <v>164.52485036118699</v>
      </c>
      <c r="G113" s="10">
        <v>172.540658884236</v>
      </c>
      <c r="H113" s="10">
        <v>183.230999074528</v>
      </c>
      <c r="I113" s="10">
        <v>182.358312283896</v>
      </c>
      <c r="J113">
        <f t="shared" si="15"/>
        <v>126.16151822702629</v>
      </c>
      <c r="K113">
        <f t="shared" si="16"/>
        <v>130.281642551256</v>
      </c>
      <c r="L113">
        <f t="shared" si="17"/>
        <v>138.4221832693801</v>
      </c>
      <c r="M113">
        <f t="shared" si="18"/>
        <v>135.16902791535711</v>
      </c>
    </row>
    <row r="114" spans="1:13" x14ac:dyDescent="0.25">
      <c r="A114" t="s">
        <v>1</v>
      </c>
      <c r="B114" s="10">
        <v>7.9163517599320397</v>
      </c>
      <c r="C114" s="10">
        <v>8.8410975673074592</v>
      </c>
      <c r="D114" s="10">
        <v>9.8086684739508598</v>
      </c>
      <c r="E114" s="10">
        <v>11.208388920637001</v>
      </c>
      <c r="F114" s="10">
        <v>103.10741371392299</v>
      </c>
      <c r="G114" s="10">
        <v>113.343025767809</v>
      </c>
      <c r="H114" s="10">
        <v>128.083347378882</v>
      </c>
      <c r="I114" s="10">
        <v>139.43136468744001</v>
      </c>
      <c r="J114">
        <f t="shared" si="15"/>
        <v>95.191061953990953</v>
      </c>
      <c r="K114">
        <f t="shared" si="16"/>
        <v>104.50192820050154</v>
      </c>
      <c r="L114">
        <f t="shared" si="17"/>
        <v>118.27467890493114</v>
      </c>
      <c r="M114">
        <f t="shared" si="18"/>
        <v>128.22297576680302</v>
      </c>
    </row>
    <row r="115" spans="1:13" x14ac:dyDescent="0.25">
      <c r="A115" t="s">
        <v>2</v>
      </c>
      <c r="B115" s="10">
        <v>4.0209035037549397</v>
      </c>
      <c r="C115" s="10">
        <v>4.1352269590162702</v>
      </c>
      <c r="D115" s="10">
        <v>4.0890994634011797</v>
      </c>
      <c r="E115" s="10">
        <v>4.1074357013928502</v>
      </c>
      <c r="F115" s="10">
        <v>103.38036423672099</v>
      </c>
      <c r="G115" s="10">
        <v>103.99572480142</v>
      </c>
      <c r="H115" s="10">
        <v>99.234147304171998</v>
      </c>
      <c r="I115" s="10">
        <v>94.367099788090897</v>
      </c>
      <c r="J115">
        <f t="shared" si="15"/>
        <v>99.359460732966056</v>
      </c>
      <c r="K115">
        <f t="shared" si="16"/>
        <v>99.860497842403731</v>
      </c>
      <c r="L115">
        <f t="shared" si="17"/>
        <v>95.145047840770815</v>
      </c>
      <c r="M115">
        <f t="shared" si="18"/>
        <v>90.259664086698052</v>
      </c>
    </row>
    <row r="116" spans="1:13" x14ac:dyDescent="0.25">
      <c r="A116" t="s">
        <v>13</v>
      </c>
      <c r="B116" s="10">
        <v>6.9167933755607498</v>
      </c>
      <c r="C116" s="10">
        <v>7.6918990911074498</v>
      </c>
      <c r="D116" s="10">
        <v>8.6418529562595499</v>
      </c>
      <c r="E116" s="10">
        <v>9.8390835440481492</v>
      </c>
      <c r="F116" s="10">
        <v>101.70695238601699</v>
      </c>
      <c r="G116" s="10">
        <v>110.026416640646</v>
      </c>
      <c r="H116" s="10">
        <v>122.731095552444</v>
      </c>
      <c r="I116" s="10">
        <v>138.09521327147601</v>
      </c>
      <c r="J116">
        <f t="shared" si="15"/>
        <v>94.79015901045625</v>
      </c>
      <c r="K116">
        <f t="shared" si="16"/>
        <v>102.33451754953856</v>
      </c>
      <c r="L116">
        <f t="shared" si="17"/>
        <v>114.08924259618445</v>
      </c>
      <c r="M116">
        <f t="shared" si="18"/>
        <v>128.25612972742786</v>
      </c>
    </row>
    <row r="125" spans="1:13" x14ac:dyDescent="0.25">
      <c r="A125" s="38" t="s">
        <v>53</v>
      </c>
      <c r="B125" s="38"/>
      <c r="C125" s="38"/>
      <c r="D125" s="38"/>
      <c r="E125" s="38"/>
      <c r="F125" s="38"/>
      <c r="G125" s="38"/>
    </row>
    <row r="127" spans="1:13" x14ac:dyDescent="0.25">
      <c r="D127" s="5"/>
      <c r="E127" s="27" t="s">
        <v>78</v>
      </c>
      <c r="F127" s="27"/>
      <c r="G127" s="5"/>
    </row>
    <row r="128" spans="1:13" x14ac:dyDescent="0.25">
      <c r="A128" s="2" t="s">
        <v>0</v>
      </c>
      <c r="B128" s="2" t="s">
        <v>84</v>
      </c>
      <c r="C128" s="2" t="s">
        <v>35</v>
      </c>
      <c r="D128" s="2" t="s">
        <v>79</v>
      </c>
      <c r="E128" s="2" t="s">
        <v>77</v>
      </c>
      <c r="F128" s="19" t="s">
        <v>76</v>
      </c>
      <c r="G128" s="20" t="s">
        <v>74</v>
      </c>
    </row>
    <row r="129" spans="1:7" x14ac:dyDescent="0.25">
      <c r="A129" t="s">
        <v>9</v>
      </c>
      <c r="B129">
        <v>4.0050931003851096</v>
      </c>
      <c r="C129">
        <v>1</v>
      </c>
      <c r="D129">
        <v>1.7750263214111299</v>
      </c>
      <c r="E129" s="1">
        <v>4.3846666812896702E-3</v>
      </c>
      <c r="F129" s="7">
        <f>B129-D129-E129</f>
        <v>2.2256821122926898</v>
      </c>
      <c r="G129" s="18">
        <v>2.9033422470092698</v>
      </c>
    </row>
    <row r="130" spans="1:7" x14ac:dyDescent="0.25">
      <c r="A130" t="s">
        <v>10</v>
      </c>
      <c r="B130">
        <v>54.5115243820917</v>
      </c>
      <c r="C130">
        <v>1000</v>
      </c>
      <c r="D130">
        <v>22.880792617797798</v>
      </c>
      <c r="E130" s="1">
        <v>1.77403353154659</v>
      </c>
      <c r="F130" s="7">
        <f t="shared" ref="F130:F135" si="19">B130-D130-E130</f>
        <v>29.856698232747313</v>
      </c>
      <c r="G130" s="18">
        <v>26.091575622558501</v>
      </c>
    </row>
    <row r="131" spans="1:7" x14ac:dyDescent="0.25">
      <c r="A131" t="s">
        <v>11</v>
      </c>
      <c r="B131">
        <v>4.0775397573838204</v>
      </c>
      <c r="C131">
        <v>1</v>
      </c>
      <c r="D131">
        <v>0.46491622924804599</v>
      </c>
      <c r="E131" s="1">
        <v>4.3846666812896702E-3</v>
      </c>
      <c r="F131" s="7">
        <f t="shared" si="19"/>
        <v>3.6082388614544847</v>
      </c>
      <c r="G131" s="18">
        <v>1.69188976287841</v>
      </c>
    </row>
    <row r="132" spans="1:7" x14ac:dyDescent="0.25">
      <c r="A132" t="s">
        <v>12</v>
      </c>
      <c r="B132">
        <v>47.1892843685389</v>
      </c>
      <c r="C132">
        <v>1000</v>
      </c>
      <c r="D132">
        <v>15.479326248168899</v>
      </c>
      <c r="E132" s="1">
        <v>1.77403353154659</v>
      </c>
      <c r="F132" s="7">
        <f t="shared" si="19"/>
        <v>29.935924588823411</v>
      </c>
      <c r="G132" s="18">
        <v>21.43235206604</v>
      </c>
    </row>
    <row r="133" spans="1:7" x14ac:dyDescent="0.25">
      <c r="A133" t="s">
        <v>1</v>
      </c>
      <c r="B133">
        <v>11.208388920637001</v>
      </c>
      <c r="C133">
        <v>100</v>
      </c>
      <c r="D133">
        <v>3.7736892700195299</v>
      </c>
      <c r="E133" s="1">
        <v>0.20086206495761799</v>
      </c>
      <c r="F133" s="7">
        <f t="shared" si="19"/>
        <v>7.2338375856598534</v>
      </c>
      <c r="G133" s="18">
        <v>3.04076671600341</v>
      </c>
    </row>
    <row r="134" spans="1:7" x14ac:dyDescent="0.25">
      <c r="A134" t="s">
        <v>2</v>
      </c>
      <c r="B134">
        <v>4.1074357013928502</v>
      </c>
      <c r="C134">
        <v>1</v>
      </c>
      <c r="D134">
        <v>0.19145011901855399</v>
      </c>
      <c r="E134" s="1">
        <v>4.3846666812896702E-3</v>
      </c>
      <c r="F134" s="7">
        <f t="shared" si="19"/>
        <v>3.9116009156930067</v>
      </c>
      <c r="G134" s="18">
        <v>1.4133214950561499</v>
      </c>
    </row>
    <row r="135" spans="1:7" x14ac:dyDescent="0.25">
      <c r="A135" t="s">
        <v>13</v>
      </c>
      <c r="B135">
        <v>9.8390835440481492</v>
      </c>
      <c r="C135">
        <v>100</v>
      </c>
      <c r="D135">
        <v>3.9923191070556601</v>
      </c>
      <c r="E135" s="1">
        <v>0.20086206495761799</v>
      </c>
      <c r="F135" s="7">
        <f t="shared" si="19"/>
        <v>5.6459023720348709</v>
      </c>
      <c r="G135" s="18">
        <v>3.1214237213134699</v>
      </c>
    </row>
    <row r="136" spans="1:7" x14ac:dyDescent="0.25">
      <c r="B136" s="1">
        <v>18.626433459035201</v>
      </c>
      <c r="G136" s="15">
        <f>AVERAGE(G129:G135)</f>
        <v>8.5278102329798884</v>
      </c>
    </row>
    <row r="137" spans="1:7" x14ac:dyDescent="0.25">
      <c r="B137" s="1"/>
    </row>
    <row r="138" spans="1:7" x14ac:dyDescent="0.25">
      <c r="B138" s="1"/>
    </row>
    <row r="139" spans="1:7" x14ac:dyDescent="0.25">
      <c r="E139" s="27" t="s">
        <v>88</v>
      </c>
      <c r="F139" s="27"/>
    </row>
    <row r="140" spans="1:7" x14ac:dyDescent="0.25">
      <c r="A140" s="2" t="s">
        <v>0</v>
      </c>
      <c r="B140" s="2" t="s">
        <v>83</v>
      </c>
      <c r="C140" s="2" t="s">
        <v>35</v>
      </c>
      <c r="D140" s="2" t="s">
        <v>80</v>
      </c>
      <c r="E140" s="2" t="s">
        <v>77</v>
      </c>
      <c r="F140" s="19" t="s">
        <v>76</v>
      </c>
      <c r="G140" s="20" t="s">
        <v>75</v>
      </c>
    </row>
    <row r="141" spans="1:7" x14ac:dyDescent="0.25">
      <c r="A141" t="s">
        <v>9</v>
      </c>
      <c r="B141">
        <v>4.0353076186722596</v>
      </c>
      <c r="C141">
        <v>1</v>
      </c>
      <c r="D141">
        <v>1.78432464599609</v>
      </c>
      <c r="E141" s="1">
        <v>4.3548643589019697E-3</v>
      </c>
      <c r="F141" s="7">
        <f>B141-D141-E141</f>
        <v>2.2466281083172674</v>
      </c>
      <c r="G141" s="18">
        <v>2.9033422470092698</v>
      </c>
    </row>
    <row r="142" spans="1:7" x14ac:dyDescent="0.25">
      <c r="A142" t="s">
        <v>10</v>
      </c>
      <c r="B142">
        <v>48.675797406364801</v>
      </c>
      <c r="C142">
        <v>1000</v>
      </c>
      <c r="D142">
        <v>20.764112472534102</v>
      </c>
      <c r="E142" s="1">
        <v>1.6100797802209801</v>
      </c>
      <c r="F142" s="7">
        <f t="shared" ref="F142:F147" si="20">B142-D142-E142</f>
        <v>26.301605153609721</v>
      </c>
      <c r="G142" s="18">
        <v>26.091575622558501</v>
      </c>
    </row>
    <row r="143" spans="1:7" x14ac:dyDescent="0.25">
      <c r="A143" t="s">
        <v>11</v>
      </c>
      <c r="B143">
        <v>4.1707241313894299</v>
      </c>
      <c r="C143">
        <v>1</v>
      </c>
      <c r="D143">
        <v>0.43320655822753901</v>
      </c>
      <c r="E143" s="1">
        <v>4.3548643589019697E-3</v>
      </c>
      <c r="F143" s="7">
        <f t="shared" si="20"/>
        <v>3.7331627088029888</v>
      </c>
      <c r="G143" s="18">
        <v>1.69188976287841</v>
      </c>
    </row>
    <row r="144" spans="1:7" x14ac:dyDescent="0.25">
      <c r="A144" t="s">
        <v>12</v>
      </c>
      <c r="B144">
        <v>44.808815805147901</v>
      </c>
      <c r="C144">
        <v>1000</v>
      </c>
      <c r="D144">
        <v>14.152050018310501</v>
      </c>
      <c r="E144" s="1">
        <v>1.6100797802209801</v>
      </c>
      <c r="F144" s="7">
        <f t="shared" si="20"/>
        <v>29.046686006616419</v>
      </c>
      <c r="G144" s="18">
        <v>21.43235206604</v>
      </c>
    </row>
    <row r="145" spans="1:7" x14ac:dyDescent="0.25">
      <c r="A145" t="s">
        <v>1</v>
      </c>
      <c r="B145">
        <v>9.8086684739508598</v>
      </c>
      <c r="C145">
        <v>100</v>
      </c>
      <c r="D145">
        <v>3.6182403564453098</v>
      </c>
      <c r="E145" s="1">
        <v>0.170979648828506</v>
      </c>
      <c r="F145" s="7">
        <f t="shared" si="20"/>
        <v>6.0194484686770444</v>
      </c>
      <c r="G145" s="18">
        <v>3.04076671600341</v>
      </c>
    </row>
    <row r="146" spans="1:7" x14ac:dyDescent="0.25">
      <c r="A146" t="s">
        <v>2</v>
      </c>
      <c r="B146">
        <v>4.0890994634011797</v>
      </c>
      <c r="C146">
        <v>1</v>
      </c>
      <c r="D146">
        <v>0.30469894409179599</v>
      </c>
      <c r="E146" s="1">
        <v>4.3548643589019697E-3</v>
      </c>
      <c r="F146" s="7">
        <f t="shared" si="20"/>
        <v>3.7800456549504817</v>
      </c>
      <c r="G146" s="18">
        <v>1.4133214950561499</v>
      </c>
    </row>
    <row r="147" spans="1:7" x14ac:dyDescent="0.25">
      <c r="A147" t="s">
        <v>13</v>
      </c>
      <c r="B147">
        <v>8.6418529562595499</v>
      </c>
      <c r="C147">
        <v>100</v>
      </c>
      <c r="D147">
        <v>3.2210350036621</v>
      </c>
      <c r="E147" s="1">
        <v>0.170979648828506</v>
      </c>
      <c r="F147" s="7">
        <f t="shared" si="20"/>
        <v>5.2498383037689438</v>
      </c>
      <c r="G147" s="18">
        <v>3.1214237213134699</v>
      </c>
    </row>
    <row r="148" spans="1:7" x14ac:dyDescent="0.25">
      <c r="B148" s="1">
        <v>17.623530680131701</v>
      </c>
      <c r="G148" s="15">
        <f>AVERAGE(G141:G147)</f>
        <v>8.5278102329798884</v>
      </c>
    </row>
    <row r="149" spans="1:7" x14ac:dyDescent="0.25">
      <c r="B149" s="1"/>
    </row>
    <row r="150" spans="1:7" x14ac:dyDescent="0.25">
      <c r="B150" s="1"/>
    </row>
    <row r="151" spans="1:7" x14ac:dyDescent="0.25">
      <c r="E151" s="27" t="s">
        <v>89</v>
      </c>
      <c r="F151" s="27"/>
    </row>
    <row r="152" spans="1:7" x14ac:dyDescent="0.25">
      <c r="A152" s="2" t="s">
        <v>0</v>
      </c>
      <c r="B152" s="2" t="s">
        <v>85</v>
      </c>
      <c r="C152" s="2" t="s">
        <v>35</v>
      </c>
      <c r="D152" s="2" t="s">
        <v>81</v>
      </c>
      <c r="E152" s="2" t="s">
        <v>77</v>
      </c>
      <c r="F152" s="19" t="s">
        <v>76</v>
      </c>
      <c r="G152" s="20" t="s">
        <v>75</v>
      </c>
    </row>
    <row r="153" spans="1:7" x14ac:dyDescent="0.25">
      <c r="A153" t="s">
        <v>9</v>
      </c>
      <c r="B153">
        <v>4.02605646143118</v>
      </c>
      <c r="C153">
        <v>1</v>
      </c>
      <c r="D153">
        <v>1.7490386962890601</v>
      </c>
      <c r="E153" s="1">
        <v>3.89851629734039E-3</v>
      </c>
      <c r="F153" s="7">
        <f>B153-D153-E153</f>
        <v>2.2731192488447798</v>
      </c>
      <c r="G153" s="18">
        <v>2.9033422470092698</v>
      </c>
    </row>
    <row r="154" spans="1:7" x14ac:dyDescent="0.25">
      <c r="A154" t="s">
        <v>10</v>
      </c>
      <c r="B154">
        <v>45.799138335569502</v>
      </c>
      <c r="C154">
        <v>1000</v>
      </c>
      <c r="D154">
        <v>19.1633701324462</v>
      </c>
      <c r="E154" s="1">
        <v>1.62918865680694</v>
      </c>
      <c r="F154" s="7">
        <f t="shared" ref="F154:F159" si="21">B154-D154-E154</f>
        <v>25.006579546316363</v>
      </c>
      <c r="G154" s="18">
        <v>26.091575622558501</v>
      </c>
    </row>
    <row r="155" spans="1:7" x14ac:dyDescent="0.25">
      <c r="A155" t="s">
        <v>11</v>
      </c>
      <c r="B155">
        <v>4.1628384834501704</v>
      </c>
      <c r="C155">
        <v>1</v>
      </c>
      <c r="D155">
        <v>0.53834915161132801</v>
      </c>
      <c r="E155" s="1">
        <v>3.89851629734039E-3</v>
      </c>
      <c r="F155" s="7">
        <f t="shared" si="21"/>
        <v>3.6205908155415019</v>
      </c>
      <c r="G155" s="18">
        <v>1.69188976287841</v>
      </c>
    </row>
    <row r="156" spans="1:7" x14ac:dyDescent="0.25">
      <c r="A156" t="s">
        <v>12</v>
      </c>
      <c r="B156">
        <v>42.259016332980003</v>
      </c>
      <c r="C156">
        <v>1000</v>
      </c>
      <c r="D156">
        <v>12.4282836914062</v>
      </c>
      <c r="E156" s="1">
        <v>1.62918865680694</v>
      </c>
      <c r="F156" s="7">
        <f t="shared" si="21"/>
        <v>28.201543984766865</v>
      </c>
      <c r="G156" s="18">
        <v>21.43235206604</v>
      </c>
    </row>
    <row r="157" spans="1:7" x14ac:dyDescent="0.25">
      <c r="A157" t="s">
        <v>1</v>
      </c>
      <c r="B157">
        <v>8.8410975673074592</v>
      </c>
      <c r="C157">
        <v>100</v>
      </c>
      <c r="D157">
        <v>2.7823448181152299</v>
      </c>
      <c r="E157" s="1">
        <v>0.16103312373161299</v>
      </c>
      <c r="F157" s="7">
        <f t="shared" si="21"/>
        <v>5.8977196254606161</v>
      </c>
      <c r="G157" s="18">
        <v>3.04076671600341</v>
      </c>
    </row>
    <row r="158" spans="1:7" x14ac:dyDescent="0.25">
      <c r="A158" t="s">
        <v>2</v>
      </c>
      <c r="B158">
        <v>4.1352269590162702</v>
      </c>
      <c r="C158">
        <v>1</v>
      </c>
      <c r="D158">
        <v>0.392913818359375</v>
      </c>
      <c r="E158" s="1">
        <v>3.89851629734039E-3</v>
      </c>
      <c r="F158" s="7">
        <f t="shared" si="21"/>
        <v>3.7384146243595548</v>
      </c>
      <c r="G158" s="18">
        <v>1.4133214950561499</v>
      </c>
    </row>
    <row r="159" spans="1:7" x14ac:dyDescent="0.25">
      <c r="A159" t="s">
        <v>13</v>
      </c>
      <c r="B159">
        <v>7.6918990911074498</v>
      </c>
      <c r="C159">
        <v>100</v>
      </c>
      <c r="D159">
        <v>2.16484069824218</v>
      </c>
      <c r="E159" s="1">
        <v>0.16103312373161299</v>
      </c>
      <c r="F159" s="7">
        <f t="shared" si="21"/>
        <v>5.3660252691336563</v>
      </c>
      <c r="G159" s="18">
        <v>3.1214237213134699</v>
      </c>
    </row>
    <row r="160" spans="1:7" x14ac:dyDescent="0.25">
      <c r="B160" s="1">
        <v>16.466972683078801</v>
      </c>
      <c r="G160" s="15">
        <f>AVERAGE(G153:G159)</f>
        <v>8.5278102329798884</v>
      </c>
    </row>
    <row r="161" spans="1:7" x14ac:dyDescent="0.25">
      <c r="B161" s="1"/>
    </row>
    <row r="162" spans="1:7" x14ac:dyDescent="0.25">
      <c r="B162" s="1"/>
    </row>
    <row r="163" spans="1:7" x14ac:dyDescent="0.25">
      <c r="E163" s="27" t="s">
        <v>90</v>
      </c>
      <c r="F163" s="27"/>
    </row>
    <row r="164" spans="1:7" x14ac:dyDescent="0.25">
      <c r="A164" s="2" t="s">
        <v>0</v>
      </c>
      <c r="B164" s="2" t="s">
        <v>86</v>
      </c>
      <c r="C164" s="2" t="s">
        <v>35</v>
      </c>
      <c r="D164" s="2" t="s">
        <v>82</v>
      </c>
      <c r="E164" s="2" t="s">
        <v>77</v>
      </c>
      <c r="F164" s="19" t="s">
        <v>76</v>
      </c>
      <c r="G164" s="20" t="s">
        <v>73</v>
      </c>
    </row>
    <row r="165" spans="1:7" x14ac:dyDescent="0.25">
      <c r="A165" t="s">
        <v>9</v>
      </c>
      <c r="B165">
        <v>3.9895902707595199</v>
      </c>
      <c r="C165">
        <v>1</v>
      </c>
      <c r="D165">
        <v>1.77168846130371</v>
      </c>
      <c r="E165" s="1">
        <v>4.3399631977081299E-3</v>
      </c>
      <c r="F165" s="7">
        <f>B165-D165-E165</f>
        <v>2.2135618462581017</v>
      </c>
      <c r="G165" s="18">
        <v>2.9033422470092698</v>
      </c>
    </row>
    <row r="166" spans="1:7" x14ac:dyDescent="0.25">
      <c r="A166" t="s">
        <v>10</v>
      </c>
      <c r="B166">
        <v>41.8466371823881</v>
      </c>
      <c r="C166">
        <v>1000</v>
      </c>
      <c r="D166">
        <v>16.952753067016602</v>
      </c>
      <c r="E166" s="1">
        <v>1.54353864490985</v>
      </c>
      <c r="F166" s="7">
        <f t="shared" ref="F166:F171" si="22">B166-D166-E166</f>
        <v>23.350345470461647</v>
      </c>
      <c r="G166" s="18">
        <v>26.091575622558501</v>
      </c>
    </row>
    <row r="167" spans="1:7" x14ac:dyDescent="0.25">
      <c r="A167" t="s">
        <v>11</v>
      </c>
      <c r="B167">
        <v>4.0147860416504804</v>
      </c>
      <c r="C167">
        <v>1</v>
      </c>
      <c r="D167">
        <v>0.55480003356933505</v>
      </c>
      <c r="E167" s="1">
        <v>4.3399631977081299E-3</v>
      </c>
      <c r="F167" s="7">
        <f t="shared" si="22"/>
        <v>3.4556460448834372</v>
      </c>
      <c r="G167" s="18">
        <v>1.69188976287841</v>
      </c>
    </row>
    <row r="168" spans="1:7" x14ac:dyDescent="0.25">
      <c r="A168" t="s">
        <v>12</v>
      </c>
      <c r="B168">
        <v>38.3633321341607</v>
      </c>
      <c r="C168">
        <v>1000</v>
      </c>
      <c r="D168">
        <v>11.2018585205078</v>
      </c>
      <c r="E168" s="1">
        <v>1.54353864490985</v>
      </c>
      <c r="F168" s="7">
        <f t="shared" si="22"/>
        <v>25.61793496874305</v>
      </c>
      <c r="G168" s="18">
        <v>21.43235206604</v>
      </c>
    </row>
    <row r="169" spans="1:7" x14ac:dyDescent="0.25">
      <c r="A169" t="s">
        <v>1</v>
      </c>
      <c r="B169">
        <v>7.9163517599320397</v>
      </c>
      <c r="C169">
        <v>100</v>
      </c>
      <c r="D169">
        <v>1.68442726135253</v>
      </c>
      <c r="E169" s="1">
        <v>0.159744173288345</v>
      </c>
      <c r="F169" s="7">
        <f t="shared" si="22"/>
        <v>6.0721803252911641</v>
      </c>
      <c r="G169" s="18">
        <v>3.04076671600341</v>
      </c>
    </row>
    <row r="170" spans="1:7" x14ac:dyDescent="0.25">
      <c r="A170" t="s">
        <v>2</v>
      </c>
      <c r="B170">
        <v>4.0209035037549397</v>
      </c>
      <c r="C170">
        <v>1</v>
      </c>
      <c r="D170">
        <v>0.32210350036620999</v>
      </c>
      <c r="E170" s="1">
        <v>4.3399631977081299E-3</v>
      </c>
      <c r="F170" s="7">
        <f t="shared" si="22"/>
        <v>3.6944600401910215</v>
      </c>
      <c r="G170" s="18">
        <v>1.4133214950561499</v>
      </c>
    </row>
    <row r="171" spans="1:7" x14ac:dyDescent="0.25">
      <c r="A171" t="s">
        <v>13</v>
      </c>
      <c r="B171">
        <v>6.9167933755607498</v>
      </c>
      <c r="C171">
        <v>100</v>
      </c>
      <c r="D171">
        <v>1.6908645629882799</v>
      </c>
      <c r="E171" s="1">
        <v>0.159744173288345</v>
      </c>
      <c r="F171" s="7">
        <f t="shared" si="22"/>
        <v>5.0661846392841241</v>
      </c>
      <c r="G171" s="18">
        <v>3.1214237213134699</v>
      </c>
    </row>
    <row r="172" spans="1:7" x14ac:dyDescent="0.25">
      <c r="B172" s="1">
        <v>15.1045682929261</v>
      </c>
      <c r="G172" s="15">
        <f>AVERAGE(G165:G171)</f>
        <v>8.5278102329798884</v>
      </c>
    </row>
    <row r="178" spans="4:4" x14ac:dyDescent="0.25">
      <c r="D178" s="1"/>
    </row>
    <row r="179" spans="4:4" x14ac:dyDescent="0.25">
      <c r="D179" s="1"/>
    </row>
    <row r="180" spans="4:4" x14ac:dyDescent="0.25">
      <c r="D180" s="1"/>
    </row>
    <row r="181" spans="4:4" x14ac:dyDescent="0.25">
      <c r="D181" s="1"/>
    </row>
    <row r="182" spans="4:4" x14ac:dyDescent="0.25">
      <c r="D182" s="1"/>
    </row>
    <row r="183" spans="4:4" x14ac:dyDescent="0.25">
      <c r="D183" s="1"/>
    </row>
    <row r="184" spans="4:4" x14ac:dyDescent="0.25">
      <c r="D184" s="1"/>
    </row>
  </sheetData>
  <mergeCells count="22">
    <mergeCell ref="A1:D1"/>
    <mergeCell ref="F1:G1"/>
    <mergeCell ref="F3:G3"/>
    <mergeCell ref="F4:G4"/>
    <mergeCell ref="F6:G6"/>
    <mergeCell ref="F5:G5"/>
    <mergeCell ref="A2:D2"/>
    <mergeCell ref="F2:G2"/>
    <mergeCell ref="A4:D4"/>
    <mergeCell ref="A5:D5"/>
    <mergeCell ref="A6:D6"/>
    <mergeCell ref="A3:D3"/>
    <mergeCell ref="A8:P9"/>
    <mergeCell ref="E127:F127"/>
    <mergeCell ref="E139:F139"/>
    <mergeCell ref="E151:F151"/>
    <mergeCell ref="E163:F163"/>
    <mergeCell ref="A11:B11"/>
    <mergeCell ref="A25:B25"/>
    <mergeCell ref="A40:B40"/>
    <mergeCell ref="A57:F57"/>
    <mergeCell ref="A125:G1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response_time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Shrestha</dc:creator>
  <cp:lastModifiedBy>Ritesh Shrestha</cp:lastModifiedBy>
  <dcterms:created xsi:type="dcterms:W3CDTF">2015-06-05T18:17:20Z</dcterms:created>
  <dcterms:modified xsi:type="dcterms:W3CDTF">2023-05-01T12:24:03Z</dcterms:modified>
</cp:coreProperties>
</file>