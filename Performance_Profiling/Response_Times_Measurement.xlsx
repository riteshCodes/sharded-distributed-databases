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227"/>
  <workbookPr/>
  <mc:AlternateContent xmlns:mc="http://schemas.openxmlformats.org/markup-compatibility/2006">
    <mc:Choice Requires="x15">
      <x15ac:absPath xmlns:x15ac="http://schemas.microsoft.com/office/spreadsheetml/2010/11/ac" url="D:\tuSemesters\Semester Winter 2022_23\Bachelor Thesis\sharded-distributed-databases\Performance_Profiling\"/>
    </mc:Choice>
  </mc:AlternateContent>
  <xr:revisionPtr revIDLastSave="0" documentId="13_ncr:1_{ED2A78FD-96CE-4E66-B1A4-6DA98FB2A389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M6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71" i="2" l="1"/>
  <c r="L72" i="2"/>
  <c r="L73" i="2"/>
  <c r="L74" i="2"/>
  <c r="L75" i="2"/>
  <c r="L76" i="2"/>
  <c r="L70" i="2"/>
  <c r="F70" i="2"/>
  <c r="D71" i="2"/>
  <c r="F71" i="2" s="1"/>
  <c r="D72" i="2"/>
  <c r="F72" i="2" s="1"/>
  <c r="D73" i="2"/>
  <c r="F73" i="2" s="1"/>
  <c r="D74" i="2"/>
  <c r="F74" i="2" s="1"/>
  <c r="D75" i="2"/>
  <c r="F75" i="2" s="1"/>
  <c r="D76" i="2"/>
  <c r="F76" i="2" s="1"/>
  <c r="D70" i="2"/>
  <c r="N55" i="2"/>
  <c r="O55" i="2" s="1"/>
  <c r="N56" i="2"/>
  <c r="O56" i="2" s="1"/>
  <c r="N57" i="2"/>
  <c r="O57" i="2" s="1"/>
  <c r="N58" i="2"/>
  <c r="O58" i="2" s="1"/>
  <c r="N59" i="2"/>
  <c r="O59" i="2" s="1"/>
  <c r="N60" i="2"/>
  <c r="O60" i="2" s="1"/>
  <c r="N54" i="2"/>
  <c r="O54" i="2" s="1"/>
  <c r="N47" i="2"/>
  <c r="N46" i="2"/>
  <c r="N45" i="2"/>
  <c r="N44" i="2"/>
  <c r="N43" i="2"/>
  <c r="N42" i="2"/>
  <c r="N41" i="2"/>
  <c r="M47" i="2"/>
  <c r="M46" i="2"/>
  <c r="M45" i="2"/>
  <c r="M44" i="2"/>
  <c r="M43" i="2"/>
  <c r="M42" i="2"/>
  <c r="M41" i="2"/>
  <c r="L47" i="2"/>
  <c r="L46" i="2"/>
  <c r="L45" i="2"/>
  <c r="L44" i="2"/>
  <c r="L43" i="2"/>
  <c r="L42" i="2"/>
  <c r="L41" i="2"/>
  <c r="O47" i="2"/>
  <c r="O46" i="2"/>
  <c r="O45" i="2"/>
  <c r="O44" i="2"/>
  <c r="O43" i="2"/>
  <c r="O42" i="2"/>
  <c r="O41" i="2"/>
  <c r="O27" i="2"/>
  <c r="O28" i="2"/>
  <c r="O29" i="2"/>
  <c r="O30" i="2"/>
  <c r="O31" i="2"/>
  <c r="O32" i="2"/>
  <c r="O26" i="2"/>
  <c r="N27" i="2"/>
  <c r="N28" i="2"/>
  <c r="N29" i="2"/>
  <c r="N30" i="2"/>
  <c r="N31" i="2"/>
  <c r="N32" i="2"/>
  <c r="N26" i="2"/>
  <c r="M27" i="2"/>
  <c r="M28" i="2"/>
  <c r="M29" i="2"/>
  <c r="M30" i="2"/>
  <c r="M31" i="2"/>
  <c r="M32" i="2"/>
  <c r="M26" i="2"/>
  <c r="L26" i="2"/>
  <c r="L27" i="2"/>
  <c r="L28" i="2"/>
  <c r="L29" i="2"/>
  <c r="L30" i="2"/>
  <c r="L31" i="2"/>
  <c r="L32" i="2"/>
  <c r="L12" i="2"/>
  <c r="O13" i="2"/>
  <c r="O14" i="2"/>
  <c r="O15" i="2"/>
  <c r="O16" i="2"/>
  <c r="O17" i="2"/>
  <c r="O18" i="2"/>
  <c r="O12" i="2"/>
  <c r="N13" i="2"/>
  <c r="N14" i="2"/>
  <c r="N15" i="2"/>
  <c r="N16" i="2"/>
  <c r="N17" i="2"/>
  <c r="N18" i="2"/>
  <c r="N12" i="2"/>
  <c r="M13" i="2"/>
  <c r="M14" i="2"/>
  <c r="M15" i="2"/>
  <c r="M16" i="2"/>
  <c r="M17" i="2"/>
  <c r="M18" i="2"/>
  <c r="M12" i="2"/>
  <c r="L13" i="2"/>
  <c r="L14" i="2"/>
  <c r="L15" i="2"/>
  <c r="L16" i="2"/>
  <c r="L17" i="2"/>
  <c r="L18" i="2"/>
  <c r="E19" i="1"/>
  <c r="J28" i="1"/>
  <c r="J29" i="1"/>
  <c r="J30" i="1"/>
  <c r="J27" i="1"/>
  <c r="J20" i="1"/>
  <c r="J21" i="1"/>
  <c r="J22" i="1"/>
  <c r="J19" i="1"/>
  <c r="E27" i="1"/>
  <c r="D28" i="1"/>
  <c r="E28" i="1" s="1"/>
  <c r="E20" i="1"/>
  <c r="C23" i="1"/>
  <c r="B31" i="1"/>
  <c r="C31" i="1"/>
  <c r="E29" i="1"/>
  <c r="E30" i="1"/>
  <c r="E21" i="1"/>
  <c r="E22" i="1"/>
  <c r="B23" i="1"/>
  <c r="J12" i="1"/>
  <c r="J13" i="1"/>
  <c r="J14" i="1"/>
  <c r="J11" i="1"/>
  <c r="P16" i="2" l="1"/>
  <c r="P12" i="2"/>
  <c r="P47" i="2"/>
  <c r="P13" i="2"/>
  <c r="P26" i="2"/>
  <c r="P27" i="2"/>
  <c r="P42" i="2"/>
  <c r="P41" i="2"/>
  <c r="P18" i="2"/>
  <c r="P15" i="2"/>
  <c r="P17" i="2"/>
  <c r="P14" i="2"/>
  <c r="P32" i="2"/>
  <c r="P45" i="2"/>
  <c r="P46" i="2"/>
  <c r="P44" i="2"/>
  <c r="P43" i="2"/>
  <c r="P28" i="2"/>
  <c r="P29" i="2"/>
  <c r="P31" i="2"/>
  <c r="P30" i="2"/>
</calcChain>
</file>

<file path=xl/sharedStrings.xml><?xml version="1.0" encoding="utf-8"?>
<sst xmlns="http://schemas.openxmlformats.org/spreadsheetml/2006/main" count="172" uniqueCount="100">
  <si>
    <t>Functions</t>
  </si>
  <si>
    <t>Total_Requests</t>
  </si>
  <si>
    <t>Response_Time_Metric: milliseconds</t>
  </si>
  <si>
    <t>M6: Middleware with 6 database servers</t>
  </si>
  <si>
    <t>M4: Middleware with 4 database servers</t>
  </si>
  <si>
    <t>M2: Middleware with 2 database servers</t>
  </si>
  <si>
    <t>M1: Middleware with 1 database server</t>
  </si>
  <si>
    <t>Get-Range</t>
  </si>
  <si>
    <t>Delete</t>
  </si>
  <si>
    <t>Total_Concurrent_Clients: 1000</t>
  </si>
  <si>
    <t>Spawn_Rate: 100 Clients/Seconds</t>
  </si>
  <si>
    <t>Runtime: 5 Minutes (including warm-up and cool-down time)</t>
  </si>
  <si>
    <t>Evaluation_Runtime: 2 Minutes</t>
  </si>
  <si>
    <t>Warm-Up_Time: 2 Minutes</t>
  </si>
  <si>
    <t>Cool-Down_Time: 1 Minute</t>
  </si>
  <si>
    <t>Average_Response_Time_Per_Requests: M1-M6</t>
  </si>
  <si>
    <t>Set</t>
  </si>
  <si>
    <t>Get</t>
  </si>
  <si>
    <t>Throughput</t>
  </si>
  <si>
    <t>Baseline:Requests_Per_Second(RPS)</t>
  </si>
  <si>
    <t>Baseline:Client Connected to Single Redis Instance Without Middleware</t>
  </si>
  <si>
    <t>M6-DB:Total_Response_Time</t>
  </si>
  <si>
    <t>M6:Requests_Per_Second(RPS)</t>
  </si>
  <si>
    <t>M6 Internal Processing Time</t>
  </si>
  <si>
    <t>Client-Middleware Response Time (Base Communication)</t>
  </si>
  <si>
    <t>M1:Requests_Per_Second(RPS)</t>
  </si>
  <si>
    <t>M1-DB:Total_Response_Time</t>
  </si>
  <si>
    <t>M1 Internal Processing Time</t>
  </si>
  <si>
    <t>M6-DB:Average_Response_Time_Per_Key_Value_Pair</t>
  </si>
  <si>
    <t>Internal_Processing_Time = Middleware-DB_Response time -2 * (Baseline:Response_Time)</t>
  </si>
  <si>
    <t>Aggregated</t>
  </si>
  <si>
    <t>Client-M6:Total_Response_Time</t>
  </si>
  <si>
    <t>Client-M1:Total_Response_Time</t>
  </si>
  <si>
    <t>Average: 10308.8449338528</t>
  </si>
  <si>
    <t>Average: 2.23743497389716</t>
  </si>
  <si>
    <t>Average: 1.67175195084388</t>
  </si>
  <si>
    <t>Baseline:Response_Time_Per_Key_Value_Pair</t>
  </si>
  <si>
    <t>Client-M6:Communication_Response_Time</t>
  </si>
  <si>
    <t>Client-M1:Communication_Response_Time(gRPC)</t>
  </si>
  <si>
    <t>Client-M6:Communication_Response_Time(gRPC)</t>
  </si>
  <si>
    <t>Average: 8913.04358205774</t>
  </si>
  <si>
    <t>get_range</t>
  </si>
  <si>
    <t>del_single</t>
  </si>
  <si>
    <t>Client_Instances = 1</t>
  </si>
  <si>
    <t>Baseline: Response_Time</t>
  </si>
  <si>
    <t>Logs_Evaluation_Time</t>
  </si>
  <si>
    <t xml:space="preserve">1 minute </t>
  </si>
  <si>
    <t>M1: Internal_Response_Time</t>
  </si>
  <si>
    <t>M2:  Internal_Response_Time</t>
  </si>
  <si>
    <t>M4: Internal_Response_Time</t>
  </si>
  <si>
    <t>M6: Internal_Response_Time</t>
  </si>
  <si>
    <t>set_single</t>
  </si>
  <si>
    <t>set_multiple</t>
  </si>
  <si>
    <t>get_single</t>
  </si>
  <si>
    <t>get_multiple</t>
  </si>
  <si>
    <t>del_multiple</t>
  </si>
  <si>
    <t>Communication_Time_gRPC</t>
  </si>
  <si>
    <t>Client_Instances = 10</t>
  </si>
  <si>
    <t>Client_Instances = 100</t>
  </si>
  <si>
    <t>M1: Processing Time</t>
  </si>
  <si>
    <t>M2: Processing Time</t>
  </si>
  <si>
    <t>M4: Processing Time</t>
  </si>
  <si>
    <t>M6: Processing Time</t>
  </si>
  <si>
    <t>C1-M1</t>
  </si>
  <si>
    <t>C1-M2</t>
  </si>
  <si>
    <t>C1-M4</t>
  </si>
  <si>
    <t>C1-M6</t>
  </si>
  <si>
    <t>Baseline=Without Middleware</t>
  </si>
  <si>
    <t>Constant Workload</t>
  </si>
  <si>
    <t xml:space="preserve">Response Time Evaluation </t>
  </si>
  <si>
    <t>3 minute</t>
  </si>
  <si>
    <t>Warmup = 10 seconds</t>
  </si>
  <si>
    <t>Cooldown = 20 seconds</t>
  </si>
  <si>
    <t>C1</t>
  </si>
  <si>
    <t xml:space="preserve">Average_Response_Time_Metric: </t>
  </si>
  <si>
    <t>milliseconds</t>
  </si>
  <si>
    <t>C10-M1</t>
  </si>
  <si>
    <t>C10-M2</t>
  </si>
  <si>
    <t>C10-M4</t>
  </si>
  <si>
    <t>C10-M6</t>
  </si>
  <si>
    <t>C100-M1</t>
  </si>
  <si>
    <t>C100-M2</t>
  </si>
  <si>
    <t>C100-M4</t>
  </si>
  <si>
    <t>C100-M6</t>
  </si>
  <si>
    <t>Average Middleware Processing Time</t>
  </si>
  <si>
    <t>Processing_Time</t>
  </si>
  <si>
    <t>M-DB (M6)</t>
  </si>
  <si>
    <t>Total Response Time</t>
  </si>
  <si>
    <t>Calculated</t>
  </si>
  <si>
    <t>Total Waiting Time</t>
  </si>
  <si>
    <t>Client-M(gRPC)</t>
  </si>
  <si>
    <t>Overhead</t>
  </si>
  <si>
    <t>Internal_Response_Time</t>
  </si>
  <si>
    <t>Waiting_Times</t>
  </si>
  <si>
    <t>Total_Execution_Time</t>
  </si>
  <si>
    <t>Only_Middleware_Processing_Time</t>
  </si>
  <si>
    <t>Internal Processing Time</t>
  </si>
  <si>
    <t>Total Internal Response Time</t>
  </si>
  <si>
    <t>Internal Waiting Time</t>
  </si>
  <si>
    <t>Internal Round Trip Latency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</si>
</sst>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000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9C57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EB9C"/>
      </patternFill>
    </fill>
  </fills>
  <borders count="2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3">
    <xf numFmtId="0" fontId="0" fillId="0" borderId="0"/>
    <xf numFmtId="0" fontId="2" fillId="2" borderId="1" applyNumberFormat="0" applyAlignment="0" applyProtection="0"/>
    <xf numFmtId="0" fontId="3" fillId="4" borderId="0" applyNumberFormat="0" applyBorder="0" applyAlignment="0" applyProtection="0"/>
  </cellStyleXfs>
  <cellXfs count="12">
    <xf numFmtId="0" fontId="0" fillId="0" borderId="0" xfId="0"/>
    <xf numFmtId="0" fontId="1" fillId="0" borderId="0" xfId="0" applyFont="1"/>
    <xf numFmtId="0" fontId="2" fillId="2" borderId="1" xfId="1"/>
    <xf numFmtId="0" fontId="0" fillId="3" borderId="0" xfId="0" applyFill="1"/>
    <xf numFmtId="0" fontId="1" fillId="0" borderId="0" xfId="0" applyFont="1" applyAlignment="1">
      <alignment horizontal="right" indent="1"/>
    </xf>
    <xf numFmtId="164" fontId="0" fillId="0" borderId="0" xfId="0" applyNumberFormat="1"/>
    <xf numFmtId="165" fontId="0" fillId="0" borderId="0" xfId="0" applyNumberFormat="1"/>
    <xf numFmtId="0" fontId="1" fillId="0" borderId="0" xfId="0" applyFont="1" applyAlignment="1">
      <alignment horizontal="right"/>
    </xf>
    <xf numFmtId="165" fontId="1" fillId="3" borderId="0" xfId="0" applyNumberFormat="1" applyFont="1" applyFill="1"/>
    <xf numFmtId="165" fontId="1" fillId="4" borderId="0" xfId="2" applyNumberFormat="1" applyFont="1"/>
    <xf numFmtId="11" fontId="0" fillId="0" borderId="0" xfId="0" applyNumberFormat="1"/>
    <xf numFmtId="0" fontId="1" fillId="0" borderId="0" xfId="0" applyFont="1" applyAlignment="1">
      <alignment horizontal="center"/>
    </xf>
  </cellXfs>
  <cellStyles count="3">
    <cellStyle name="Neutral" xfId="2" builtinId="28"/>
    <cellStyle name="Normal" xfId="0" builtinId="0"/>
    <cellStyle name="Output" xfId="1" builtinId="2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9"/>
  <sheetViews>
    <sheetView workbookViewId="0">
      <selection activeCell="A2" sqref="A2"/>
    </sheetView>
  </sheetViews>
  <sheetFormatPr defaultRowHeight="15" x14ac:dyDescent="0.25"/>
  <cols>
    <col min="1" max="1" width="52.28515625" customWidth="1"/>
    <col min="2" max="2" width="32.42578125" customWidth="1"/>
    <col min="3" max="3" width="28.85546875" customWidth="1"/>
    <col min="4" max="4" width="34.5703125" customWidth="1"/>
    <col min="5" max="5" width="52" customWidth="1"/>
    <col min="6" max="6" width="57" customWidth="1"/>
    <col min="7" max="7" width="54.42578125" customWidth="1"/>
    <col min="8" max="8" width="37.28515625" customWidth="1"/>
    <col min="9" max="9" width="33.42578125" customWidth="1"/>
    <col min="10" max="10" width="27" customWidth="1"/>
    <col min="11" max="11" width="36.5703125" customWidth="1"/>
  </cols>
  <sheetData>
    <row r="1" spans="1:11" x14ac:dyDescent="0.25">
      <c r="A1" t="s">
        <v>20</v>
      </c>
      <c r="B1" t="s">
        <v>9</v>
      </c>
      <c r="C1" t="s">
        <v>11</v>
      </c>
      <c r="F1" t="s">
        <v>13</v>
      </c>
    </row>
    <row r="2" spans="1:11" x14ac:dyDescent="0.25">
      <c r="A2" s="1" t="s">
        <v>2</v>
      </c>
      <c r="B2" t="s">
        <v>10</v>
      </c>
      <c r="C2" t="s">
        <v>12</v>
      </c>
      <c r="F2" t="s">
        <v>14</v>
      </c>
    </row>
    <row r="5" spans="1:11" x14ac:dyDescent="0.25">
      <c r="F5" s="11" t="s">
        <v>29</v>
      </c>
      <c r="G5" s="11"/>
    </row>
    <row r="9" spans="1:11" x14ac:dyDescent="0.25">
      <c r="C9" t="s">
        <v>18</v>
      </c>
    </row>
    <row r="10" spans="1:11" x14ac:dyDescent="0.25">
      <c r="A10" t="s">
        <v>0</v>
      </c>
      <c r="B10" t="s">
        <v>1</v>
      </c>
      <c r="C10" t="s">
        <v>22</v>
      </c>
      <c r="D10" s="2" t="s">
        <v>31</v>
      </c>
      <c r="E10" s="2" t="s">
        <v>37</v>
      </c>
      <c r="F10" s="2" t="s">
        <v>21</v>
      </c>
      <c r="G10" s="2" t="s">
        <v>28</v>
      </c>
      <c r="H10" s="2" t="s">
        <v>36</v>
      </c>
      <c r="I10" s="2" t="s">
        <v>19</v>
      </c>
      <c r="J10" s="2" t="s">
        <v>23</v>
      </c>
      <c r="K10" s="2" t="s">
        <v>24</v>
      </c>
    </row>
    <row r="11" spans="1:11" x14ac:dyDescent="0.25">
      <c r="A11" t="s">
        <v>16</v>
      </c>
      <c r="B11">
        <v>11942</v>
      </c>
      <c r="D11">
        <v>9196.4009272318253</v>
      </c>
      <c r="F11">
        <v>1018360.3970850317</v>
      </c>
      <c r="G11">
        <v>85.275531492633704</v>
      </c>
      <c r="H11" s="3">
        <v>3.4243865973862802</v>
      </c>
      <c r="J11">
        <f>G11-(2*H11)</f>
        <v>78.426758297861142</v>
      </c>
    </row>
    <row r="12" spans="1:11" x14ac:dyDescent="0.25">
      <c r="A12" t="s">
        <v>17</v>
      </c>
      <c r="B12">
        <v>12491</v>
      </c>
      <c r="D12">
        <v>9183.8560924287813</v>
      </c>
      <c r="F12">
        <v>475452.95695960498</v>
      </c>
      <c r="G12">
        <v>38.063642379281497</v>
      </c>
      <c r="H12" s="3">
        <v>3.4322229428683699</v>
      </c>
      <c r="J12">
        <f t="shared" ref="J12:J14" si="0">G12-(2*H12)</f>
        <v>31.199196493544758</v>
      </c>
    </row>
    <row r="13" spans="1:11" x14ac:dyDescent="0.25">
      <c r="A13" t="s">
        <v>7</v>
      </c>
      <c r="B13">
        <v>9795</v>
      </c>
      <c r="D13">
        <v>9183.9702836643701</v>
      </c>
      <c r="F13">
        <v>567651.17784589506</v>
      </c>
      <c r="G13">
        <v>57.953157513618699</v>
      </c>
      <c r="H13" s="3">
        <v>3.4031658544935599</v>
      </c>
      <c r="J13">
        <f t="shared" si="0"/>
        <v>51.146825804631575</v>
      </c>
    </row>
    <row r="14" spans="1:11" x14ac:dyDescent="0.25">
      <c r="A14" t="s">
        <v>8</v>
      </c>
      <c r="B14">
        <v>10671</v>
      </c>
      <c r="D14">
        <v>9165.6664454259699</v>
      </c>
      <c r="F14">
        <v>582540.25277588505</v>
      </c>
      <c r="G14">
        <v>54.590971115723399</v>
      </c>
      <c r="H14" s="3">
        <v>3.4400745046623098</v>
      </c>
      <c r="J14">
        <f t="shared" si="0"/>
        <v>47.71082210639878</v>
      </c>
    </row>
    <row r="18" spans="1:11" x14ac:dyDescent="0.25">
      <c r="A18" t="s">
        <v>0</v>
      </c>
      <c r="B18" t="s">
        <v>1</v>
      </c>
      <c r="C18" t="s">
        <v>25</v>
      </c>
      <c r="D18" s="2" t="s">
        <v>32</v>
      </c>
      <c r="E18" s="2" t="s">
        <v>38</v>
      </c>
      <c r="F18" s="2" t="s">
        <v>26</v>
      </c>
      <c r="G18" s="2"/>
      <c r="H18" s="2" t="s">
        <v>36</v>
      </c>
      <c r="I18" s="2" t="s">
        <v>19</v>
      </c>
      <c r="J18" s="2" t="s">
        <v>27</v>
      </c>
      <c r="K18" s="2" t="s">
        <v>24</v>
      </c>
    </row>
    <row r="19" spans="1:11" x14ac:dyDescent="0.25">
      <c r="A19" t="s">
        <v>16</v>
      </c>
      <c r="B19">
        <v>10753</v>
      </c>
      <c r="C19">
        <v>35.8402182346125</v>
      </c>
      <c r="D19">
        <v>17844.025358590239</v>
      </c>
      <c r="E19">
        <f>D19/B19</f>
        <v>1.6594462344080945</v>
      </c>
      <c r="F19" s="5">
        <v>120887.90003769091</v>
      </c>
      <c r="G19">
        <v>53.670286270020398</v>
      </c>
      <c r="H19" s="3">
        <v>3.4243865973862802</v>
      </c>
      <c r="J19">
        <f>G19-(2*H19)</f>
        <v>46.821513075247836</v>
      </c>
    </row>
    <row r="20" spans="1:11" x14ac:dyDescent="0.25">
      <c r="A20" t="s">
        <v>17</v>
      </c>
      <c r="B20">
        <v>10743</v>
      </c>
      <c r="C20" s="6">
        <v>35.806887798237</v>
      </c>
      <c r="D20">
        <v>17810.691500573499</v>
      </c>
      <c r="E20">
        <f>D20/B20</f>
        <v>1.6578880667014335</v>
      </c>
      <c r="F20">
        <v>86850.022056140006</v>
      </c>
      <c r="G20">
        <v>19.613826119272801</v>
      </c>
      <c r="H20" s="3">
        <v>3.4322229428683699</v>
      </c>
      <c r="J20">
        <f t="shared" ref="J20:J22" si="1">G20-(2*H20)</f>
        <v>12.749380233536062</v>
      </c>
    </row>
    <row r="21" spans="1:11" x14ac:dyDescent="0.25">
      <c r="A21" t="s">
        <v>7</v>
      </c>
      <c r="B21">
        <v>5315</v>
      </c>
      <c r="C21">
        <v>17.7151269335967</v>
      </c>
      <c r="D21">
        <v>8917.6700800189392</v>
      </c>
      <c r="E21">
        <f t="shared" ref="E21:E22" si="2">D21/B21</f>
        <v>1.6778306829762821</v>
      </c>
      <c r="F21">
        <v>54144.182988442401</v>
      </c>
      <c r="G21">
        <v>24.499630311512401</v>
      </c>
      <c r="H21" s="3">
        <v>3.4031658544935599</v>
      </c>
      <c r="J21">
        <f t="shared" si="1"/>
        <v>17.693298602525282</v>
      </c>
    </row>
    <row r="22" spans="1:11" x14ac:dyDescent="0.25">
      <c r="A22" t="s">
        <v>8</v>
      </c>
      <c r="B22">
        <v>5264</v>
      </c>
      <c r="C22">
        <v>17.545141708081498</v>
      </c>
      <c r="D22">
        <v>8905.8606007410399</v>
      </c>
      <c r="E22">
        <f t="shared" si="2"/>
        <v>1.6918428192897113</v>
      </c>
      <c r="F22">
        <v>50546.400175429801</v>
      </c>
      <c r="G22">
        <v>22.6665471638699</v>
      </c>
      <c r="H22" s="3">
        <v>3.4400745046623098</v>
      </c>
      <c r="J22">
        <f t="shared" si="1"/>
        <v>15.786398154545282</v>
      </c>
    </row>
    <row r="23" spans="1:11" x14ac:dyDescent="0.25">
      <c r="A23" s="1" t="s">
        <v>30</v>
      </c>
      <c r="B23" s="1">
        <f>SUM(B19:B22)</f>
        <v>32075</v>
      </c>
      <c r="C23" s="1">
        <f>SUM(C19:C22)</f>
        <v>106.90737467452772</v>
      </c>
      <c r="H23" s="3"/>
    </row>
    <row r="24" spans="1:11" x14ac:dyDescent="0.25">
      <c r="D24" s="4" t="s">
        <v>40</v>
      </c>
      <c r="E24" s="7" t="s">
        <v>35</v>
      </c>
    </row>
    <row r="26" spans="1:11" x14ac:dyDescent="0.25">
      <c r="A26" t="s">
        <v>0</v>
      </c>
      <c r="B26" t="s">
        <v>1</v>
      </c>
      <c r="C26" t="s">
        <v>25</v>
      </c>
      <c r="D26" s="2" t="s">
        <v>31</v>
      </c>
      <c r="E26" s="2" t="s">
        <v>39</v>
      </c>
      <c r="F26" s="2" t="s">
        <v>21</v>
      </c>
      <c r="G26" s="2" t="s">
        <v>28</v>
      </c>
      <c r="H26" s="2" t="s">
        <v>36</v>
      </c>
      <c r="I26" s="2" t="s">
        <v>19</v>
      </c>
      <c r="J26" s="2" t="s">
        <v>23</v>
      </c>
      <c r="K26" s="2" t="s">
        <v>24</v>
      </c>
    </row>
    <row r="27" spans="1:11" x14ac:dyDescent="0.25">
      <c r="A27" t="s">
        <v>16</v>
      </c>
      <c r="B27">
        <v>9145</v>
      </c>
      <c r="C27">
        <v>30.4869067930452</v>
      </c>
      <c r="D27">
        <v>20541.8354965254</v>
      </c>
      <c r="E27">
        <f>D27/B27</f>
        <v>2.2462367956834774</v>
      </c>
      <c r="F27">
        <v>173579.49916180191</v>
      </c>
      <c r="G27">
        <v>89.672978634367993</v>
      </c>
      <c r="H27" s="3">
        <v>3.4243865973862802</v>
      </c>
      <c r="J27">
        <f>G27-(2*H27)</f>
        <v>82.824205439595431</v>
      </c>
    </row>
    <row r="28" spans="1:11" x14ac:dyDescent="0.25">
      <c r="A28" t="s">
        <v>17</v>
      </c>
      <c r="B28">
        <v>9346</v>
      </c>
      <c r="C28">
        <v>31.156985334915301</v>
      </c>
      <c r="D28" s="5">
        <f>SUM(D26:D27)</f>
        <v>20541.8354965254</v>
      </c>
      <c r="E28">
        <f t="shared" ref="E28:E30" si="3">D28/B28</f>
        <v>2.1979280437112561</v>
      </c>
      <c r="F28">
        <v>147825.71791764299</v>
      </c>
      <c r="G28">
        <v>38.506308392196701</v>
      </c>
      <c r="H28" s="3">
        <v>3.4322229428683699</v>
      </c>
      <c r="J28">
        <f t="shared" ref="J28:J30" si="4">G28-(2*H28)</f>
        <v>31.641862506459962</v>
      </c>
    </row>
    <row r="29" spans="1:11" x14ac:dyDescent="0.25">
      <c r="A29" t="s">
        <v>7</v>
      </c>
      <c r="B29">
        <v>4588</v>
      </c>
      <c r="C29">
        <v>15.295126119900599</v>
      </c>
      <c r="D29">
        <v>10318.449787772401</v>
      </c>
      <c r="E29">
        <f t="shared" si="3"/>
        <v>2.249008236218919</v>
      </c>
      <c r="F29">
        <v>95227.871495298998</v>
      </c>
      <c r="G29">
        <v>49.572030971004097</v>
      </c>
      <c r="H29" s="3">
        <v>3.4031658544935599</v>
      </c>
      <c r="J29">
        <f t="shared" si="4"/>
        <v>42.76569926201698</v>
      </c>
    </row>
    <row r="30" spans="1:11" x14ac:dyDescent="0.25">
      <c r="A30" t="s">
        <v>8</v>
      </c>
      <c r="B30">
        <v>4573</v>
      </c>
      <c r="C30">
        <v>15.245120258567001</v>
      </c>
      <c r="D30">
        <v>10319.2800677456</v>
      </c>
      <c r="E30">
        <f t="shared" si="3"/>
        <v>2.2565668199749838</v>
      </c>
      <c r="F30">
        <v>94887.388088740394</v>
      </c>
      <c r="G30">
        <v>50.046090764103504</v>
      </c>
      <c r="H30" s="3">
        <v>3.4400745046623098</v>
      </c>
      <c r="J30">
        <f t="shared" si="4"/>
        <v>43.165941754778885</v>
      </c>
    </row>
    <row r="31" spans="1:11" x14ac:dyDescent="0.25">
      <c r="A31" s="1" t="s">
        <v>30</v>
      </c>
      <c r="B31" s="1">
        <f>SUM(B27:B30)</f>
        <v>27652</v>
      </c>
      <c r="C31" s="1">
        <f>SUM(C27:C30)</f>
        <v>92.184138506428098</v>
      </c>
      <c r="D31" s="1"/>
      <c r="E31" s="1"/>
    </row>
    <row r="32" spans="1:11" x14ac:dyDescent="0.25">
      <c r="D32" s="4" t="s">
        <v>33</v>
      </c>
      <c r="E32" s="4" t="s">
        <v>34</v>
      </c>
    </row>
    <row r="33" spans="3:7" x14ac:dyDescent="0.25">
      <c r="E33" s="1"/>
    </row>
    <row r="41" spans="3:7" x14ac:dyDescent="0.25">
      <c r="C41" s="1"/>
    </row>
    <row r="44" spans="3:7" x14ac:dyDescent="0.25">
      <c r="G44" s="5"/>
    </row>
    <row r="49" spans="6:6" x14ac:dyDescent="0.25">
      <c r="F49" s="5"/>
    </row>
  </sheetData>
  <mergeCells count="1">
    <mergeCell ref="F5:G5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DFA73-0146-4B44-A73A-A03B2960D74C}">
  <dimension ref="A1:P76"/>
  <sheetViews>
    <sheetView tabSelected="1" topLeftCell="A22" zoomScale="91" zoomScaleNormal="91" workbookViewId="0">
      <selection activeCell="I56" sqref="I56"/>
    </sheetView>
  </sheetViews>
  <sheetFormatPr defaultRowHeight="15" x14ac:dyDescent="0.25"/>
  <cols>
    <col min="1" max="1" width="31" bestFit="1" customWidth="1"/>
    <col min="2" max="2" width="24" bestFit="1" customWidth="1"/>
    <col min="3" max="3" width="28.28515625" bestFit="1" customWidth="1"/>
    <col min="4" max="4" width="28.7109375" bestFit="1" customWidth="1"/>
    <col min="5" max="6" width="28.28515625" bestFit="1" customWidth="1"/>
    <col min="7" max="7" width="26.42578125" bestFit="1" customWidth="1"/>
    <col min="8" max="11" width="34.28515625" customWidth="1"/>
    <col min="12" max="15" width="19.42578125" bestFit="1" customWidth="1"/>
    <col min="16" max="16" width="34" bestFit="1" customWidth="1"/>
  </cols>
  <sheetData>
    <row r="1" spans="1:16" x14ac:dyDescent="0.25">
      <c r="A1" t="s">
        <v>45</v>
      </c>
      <c r="B1" t="s">
        <v>46</v>
      </c>
    </row>
    <row r="2" spans="1:16" x14ac:dyDescent="0.25">
      <c r="A2" t="s">
        <v>69</v>
      </c>
      <c r="B2" t="s">
        <v>70</v>
      </c>
      <c r="C2" t="s">
        <v>71</v>
      </c>
      <c r="D2" t="s">
        <v>72</v>
      </c>
    </row>
    <row r="3" spans="1:16" x14ac:dyDescent="0.25">
      <c r="A3" t="s">
        <v>74</v>
      </c>
      <c r="B3" t="s">
        <v>75</v>
      </c>
      <c r="G3" t="s">
        <v>3</v>
      </c>
    </row>
    <row r="4" spans="1:16" x14ac:dyDescent="0.25">
      <c r="A4" s="1" t="s">
        <v>67</v>
      </c>
      <c r="G4" t="s">
        <v>4</v>
      </c>
    </row>
    <row r="5" spans="1:16" x14ac:dyDescent="0.25">
      <c r="A5" s="1" t="s">
        <v>73</v>
      </c>
      <c r="G5" t="s">
        <v>5</v>
      </c>
    </row>
    <row r="6" spans="1:16" x14ac:dyDescent="0.25">
      <c r="A6" s="1" t="s">
        <v>68</v>
      </c>
      <c r="G6" t="s">
        <v>6</v>
      </c>
    </row>
    <row r="7" spans="1:16" x14ac:dyDescent="0.25">
      <c r="G7" t="s">
        <v>15</v>
      </c>
    </row>
    <row r="10" spans="1:16" x14ac:dyDescent="0.25">
      <c r="A10" s="1" t="s">
        <v>43</v>
      </c>
    </row>
    <row r="11" spans="1:16" x14ac:dyDescent="0.25">
      <c r="A11" s="2" t="s">
        <v>0</v>
      </c>
      <c r="B11" s="2" t="s">
        <v>44</v>
      </c>
      <c r="C11" s="2" t="s">
        <v>47</v>
      </c>
      <c r="D11" s="2" t="s">
        <v>48</v>
      </c>
      <c r="E11" s="2" t="s">
        <v>49</v>
      </c>
      <c r="F11" s="2" t="s">
        <v>50</v>
      </c>
      <c r="G11" s="2" t="s">
        <v>56</v>
      </c>
      <c r="H11" s="2" t="s">
        <v>63</v>
      </c>
      <c r="I11" s="2" t="s">
        <v>64</v>
      </c>
      <c r="J11" s="2" t="s">
        <v>65</v>
      </c>
      <c r="K11" s="2" t="s">
        <v>66</v>
      </c>
      <c r="L11" s="2" t="s">
        <v>59</v>
      </c>
      <c r="M11" s="2" t="s">
        <v>60</v>
      </c>
      <c r="N11" s="2" t="s">
        <v>61</v>
      </c>
      <c r="O11" s="2" t="s">
        <v>62</v>
      </c>
      <c r="P11" s="2" t="s">
        <v>84</v>
      </c>
    </row>
    <row r="12" spans="1:16" x14ac:dyDescent="0.25">
      <c r="A12" t="s">
        <v>51</v>
      </c>
      <c r="B12">
        <v>1.7484884995680501</v>
      </c>
      <c r="C12" s="6">
        <v>0.52516379831418403</v>
      </c>
      <c r="D12">
        <v>0.55217083894890695</v>
      </c>
      <c r="E12" s="6">
        <v>0.56642264724104496</v>
      </c>
      <c r="F12">
        <v>0.53922044867672203</v>
      </c>
      <c r="G12" s="8">
        <v>3.4243865973862802</v>
      </c>
      <c r="H12">
        <v>3.9895902707595199</v>
      </c>
      <c r="I12">
        <v>4.02605646143118</v>
      </c>
      <c r="J12">
        <v>4.0353076186722596</v>
      </c>
      <c r="K12">
        <v>4.0050931003851096</v>
      </c>
      <c r="L12" s="6">
        <f>(H12-C12-G12)</f>
        <v>4.0039875059055596E-2</v>
      </c>
      <c r="M12" s="6">
        <f>(I12-D12-G12)</f>
        <v>4.9499025095992799E-2</v>
      </c>
      <c r="N12" s="6">
        <f>(J12-E12-G12)</f>
        <v>4.4498374044934508E-2</v>
      </c>
      <c r="O12" s="6">
        <f>(K12-F12-G12)</f>
        <v>4.1486054322107613E-2</v>
      </c>
      <c r="P12" s="9">
        <f>(L12+M12+N12+O12)/4</f>
        <v>4.3880832130522629E-2</v>
      </c>
    </row>
    <row r="13" spans="1:16" x14ac:dyDescent="0.25">
      <c r="A13" t="s">
        <v>52</v>
      </c>
      <c r="B13">
        <v>6683.5777209355201</v>
      </c>
      <c r="C13">
        <v>32.977948012191398</v>
      </c>
      <c r="D13" s="6">
        <v>37.627384497258902</v>
      </c>
      <c r="E13" s="6">
        <v>40.476617648566901</v>
      </c>
      <c r="F13">
        <v>45.082622893090097</v>
      </c>
      <c r="G13" s="8">
        <v>3.4243865973862802</v>
      </c>
      <c r="H13">
        <v>41.8466371823881</v>
      </c>
      <c r="I13">
        <v>45.799138335569502</v>
      </c>
      <c r="J13">
        <v>48.675797406364801</v>
      </c>
      <c r="K13">
        <v>54.5115243820917</v>
      </c>
      <c r="L13" s="6">
        <f t="shared" ref="L13:L18" si="0">(H13-C13-G13)</f>
        <v>5.4443025728104226</v>
      </c>
      <c r="M13" s="6">
        <f t="shared" ref="M13:M18" si="1">(I13-D13-G13)</f>
        <v>4.7473672409243202</v>
      </c>
      <c r="N13" s="6">
        <f t="shared" ref="N13:N18" si="2">(J13-E13-G13)</f>
        <v>4.7747931604116198</v>
      </c>
      <c r="O13" s="6">
        <f t="shared" ref="O13:O18" si="3">(K13-F13-G13)</f>
        <v>6.0045148916153233</v>
      </c>
      <c r="P13" s="9">
        <f t="shared" ref="P13:P18" si="4">(L13+M13+N13+O13)/4</f>
        <v>5.2427444664404215</v>
      </c>
    </row>
    <row r="14" spans="1:16" x14ac:dyDescent="0.25">
      <c r="A14" t="s">
        <v>53</v>
      </c>
      <c r="B14">
        <v>7.7534715334574296</v>
      </c>
      <c r="C14">
        <v>0.49840760395546102</v>
      </c>
      <c r="D14" s="6">
        <v>0.42816291537031098</v>
      </c>
      <c r="E14" s="6">
        <v>0.53777458074084705</v>
      </c>
      <c r="F14">
        <v>0.54917054483667005</v>
      </c>
      <c r="G14" s="8">
        <v>3.4322229428683699</v>
      </c>
      <c r="H14">
        <v>4.0147860416504804</v>
      </c>
      <c r="I14">
        <v>4.1628384834501704</v>
      </c>
      <c r="J14">
        <v>4.1707241313894299</v>
      </c>
      <c r="K14">
        <v>4.0775397573838204</v>
      </c>
      <c r="L14" s="6">
        <f t="shared" si="0"/>
        <v>8.4155494826649413E-2</v>
      </c>
      <c r="M14" s="6">
        <f t="shared" si="1"/>
        <v>0.30245262521148941</v>
      </c>
      <c r="N14" s="6">
        <f t="shared" si="2"/>
        <v>0.20072660778021278</v>
      </c>
      <c r="O14" s="6">
        <f t="shared" si="3"/>
        <v>9.6146269678780261E-2</v>
      </c>
      <c r="P14" s="9">
        <f t="shared" si="4"/>
        <v>0.17087024937428297</v>
      </c>
    </row>
    <row r="15" spans="1:16" x14ac:dyDescent="0.25">
      <c r="A15" t="s">
        <v>54</v>
      </c>
      <c r="B15">
        <v>5248.1240630149796</v>
      </c>
      <c r="C15">
        <v>25.759887776849901</v>
      </c>
      <c r="D15" s="6">
        <v>27.827213474541299</v>
      </c>
      <c r="E15" s="6">
        <v>32.509592705689798</v>
      </c>
      <c r="F15">
        <v>34.394685960258002</v>
      </c>
      <c r="G15" s="8">
        <v>3.4322229428683699</v>
      </c>
      <c r="H15">
        <v>38.3633321341607</v>
      </c>
      <c r="I15">
        <v>42.259016332980003</v>
      </c>
      <c r="J15">
        <v>44.808815805147901</v>
      </c>
      <c r="K15">
        <v>47.1892843685389</v>
      </c>
      <c r="L15" s="6">
        <f t="shared" si="0"/>
        <v>9.1712214144424298</v>
      </c>
      <c r="M15" s="6">
        <f t="shared" si="1"/>
        <v>10.999579915570335</v>
      </c>
      <c r="N15" s="6">
        <f t="shared" si="2"/>
        <v>8.8670001565897341</v>
      </c>
      <c r="O15" s="6">
        <f t="shared" si="3"/>
        <v>9.3623754654125282</v>
      </c>
      <c r="P15" s="9">
        <f t="shared" si="4"/>
        <v>9.6000442380037558</v>
      </c>
    </row>
    <row r="16" spans="1:16" x14ac:dyDescent="0.25">
      <c r="A16" t="s">
        <v>41</v>
      </c>
      <c r="B16">
        <v>526.84138371394204</v>
      </c>
      <c r="C16">
        <v>3.52255095970304</v>
      </c>
      <c r="D16" s="6">
        <v>4.2291533285572704</v>
      </c>
      <c r="E16" s="6">
        <v>5.3097894837627804</v>
      </c>
      <c r="F16">
        <v>6.2376752522495398</v>
      </c>
      <c r="G16" s="8">
        <v>3.4031658544935599</v>
      </c>
      <c r="H16">
        <v>7.9163517599320397</v>
      </c>
      <c r="I16">
        <v>8.8410975673074592</v>
      </c>
      <c r="J16">
        <v>9.8086684739508598</v>
      </c>
      <c r="K16">
        <v>11.208388920637001</v>
      </c>
      <c r="L16" s="6">
        <f t="shared" si="0"/>
        <v>0.9906349457354402</v>
      </c>
      <c r="M16" s="6">
        <f t="shared" si="1"/>
        <v>1.2087783842566289</v>
      </c>
      <c r="N16" s="6">
        <f t="shared" si="2"/>
        <v>1.0957131356945196</v>
      </c>
      <c r="O16" s="6">
        <f t="shared" si="3"/>
        <v>1.567547813893901</v>
      </c>
      <c r="P16" s="9">
        <f t="shared" si="4"/>
        <v>1.2156685698951224</v>
      </c>
    </row>
    <row r="17" spans="1:16" x14ac:dyDescent="0.25">
      <c r="A17" t="s">
        <v>42</v>
      </c>
      <c r="B17">
        <v>1.6942660013834601</v>
      </c>
      <c r="C17" s="6">
        <v>0.49062787411620901</v>
      </c>
      <c r="D17" s="6">
        <v>0.42316263608524202</v>
      </c>
      <c r="E17" s="6">
        <v>0.53834092805300005</v>
      </c>
      <c r="F17">
        <v>0.54279469219126897</v>
      </c>
      <c r="G17" s="8">
        <v>3.4400745046623098</v>
      </c>
      <c r="H17">
        <v>4.0209035037549397</v>
      </c>
      <c r="I17">
        <v>4.1352269590162702</v>
      </c>
      <c r="J17">
        <v>4.0890994634011797</v>
      </c>
      <c r="K17">
        <v>4.1074357013928502</v>
      </c>
      <c r="L17" s="6">
        <f t="shared" si="0"/>
        <v>9.0201124976420743E-2</v>
      </c>
      <c r="M17" s="6">
        <f t="shared" si="1"/>
        <v>0.2719898182687186</v>
      </c>
      <c r="N17" s="6">
        <f t="shared" si="2"/>
        <v>0.11068403068586985</v>
      </c>
      <c r="O17" s="6">
        <f t="shared" si="3"/>
        <v>0.12456650453927143</v>
      </c>
      <c r="P17" s="9">
        <f t="shared" si="4"/>
        <v>0.14936036961757015</v>
      </c>
    </row>
    <row r="18" spans="1:16" x14ac:dyDescent="0.25">
      <c r="A18" t="s">
        <v>55</v>
      </c>
      <c r="B18">
        <v>2.2942038143382302</v>
      </c>
      <c r="C18">
        <v>3.1790446098824598</v>
      </c>
      <c r="D18">
        <v>3.5695951125117098</v>
      </c>
      <c r="E18">
        <v>4.99549014023889</v>
      </c>
      <c r="F18">
        <v>5.9257052455949104</v>
      </c>
      <c r="G18" s="8">
        <v>3.4400745046623098</v>
      </c>
      <c r="H18">
        <v>6.9167933755607498</v>
      </c>
      <c r="I18">
        <v>7.6918990911074498</v>
      </c>
      <c r="J18">
        <v>8.6418529562595499</v>
      </c>
      <c r="K18">
        <v>9.8390835440481492</v>
      </c>
      <c r="L18" s="6">
        <f t="shared" si="0"/>
        <v>0.29767426101598016</v>
      </c>
      <c r="M18" s="6">
        <f t="shared" si="1"/>
        <v>0.68222947393343025</v>
      </c>
      <c r="N18" s="6">
        <f t="shared" si="2"/>
        <v>0.20628831135835002</v>
      </c>
      <c r="O18" s="6">
        <f t="shared" si="3"/>
        <v>0.47330379379092902</v>
      </c>
      <c r="P18" s="9">
        <f t="shared" si="4"/>
        <v>0.41487396002467236</v>
      </c>
    </row>
    <row r="24" spans="1:16" x14ac:dyDescent="0.25">
      <c r="A24" s="1" t="s">
        <v>57</v>
      </c>
    </row>
    <row r="25" spans="1:16" x14ac:dyDescent="0.25">
      <c r="A25" s="2" t="s">
        <v>0</v>
      </c>
      <c r="B25" s="2" t="s">
        <v>44</v>
      </c>
      <c r="C25" s="2" t="s">
        <v>47</v>
      </c>
      <c r="D25" s="2" t="s">
        <v>48</v>
      </c>
      <c r="E25" s="2" t="s">
        <v>49</v>
      </c>
      <c r="F25" s="2" t="s">
        <v>50</v>
      </c>
      <c r="G25" s="2" t="s">
        <v>56</v>
      </c>
      <c r="H25" s="2" t="s">
        <v>76</v>
      </c>
      <c r="I25" s="2" t="s">
        <v>77</v>
      </c>
      <c r="J25" s="2" t="s">
        <v>78</v>
      </c>
      <c r="K25" s="2" t="s">
        <v>79</v>
      </c>
      <c r="L25" s="2" t="s">
        <v>59</v>
      </c>
      <c r="M25" s="2" t="s">
        <v>60</v>
      </c>
      <c r="N25" s="2" t="s">
        <v>61</v>
      </c>
      <c r="O25" s="2" t="s">
        <v>62</v>
      </c>
      <c r="P25" s="2" t="s">
        <v>84</v>
      </c>
    </row>
    <row r="26" spans="1:16" x14ac:dyDescent="0.25">
      <c r="A26" t="s">
        <v>51</v>
      </c>
      <c r="B26">
        <v>95.74904649154</v>
      </c>
      <c r="C26" s="6">
        <v>11.847161237319201</v>
      </c>
      <c r="D26">
        <v>11.823772956803801</v>
      </c>
      <c r="E26" s="6">
        <v>10.2693631465152</v>
      </c>
      <c r="F26">
        <v>10.8891134198832</v>
      </c>
      <c r="G26" s="8">
        <v>3.4243865973862802</v>
      </c>
      <c r="H26">
        <v>104.206596222385</v>
      </c>
      <c r="I26">
        <v>103.825935221908</v>
      </c>
      <c r="J26">
        <v>100.11177985049</v>
      </c>
      <c r="K26">
        <v>93.901651246207095</v>
      </c>
      <c r="L26" s="6">
        <f>(H26-C26-G26)</f>
        <v>88.935048387679529</v>
      </c>
      <c r="M26" s="6">
        <f>(I26-D26-G26)</f>
        <v>88.57777566771793</v>
      </c>
      <c r="N26" s="6">
        <f>(J26-E26-G26)</f>
        <v>86.418030106588517</v>
      </c>
      <c r="O26" s="6">
        <f>(K26-F26-G26)</f>
        <v>79.588151228937619</v>
      </c>
      <c r="P26" s="9">
        <f>(L26+M26+N26+O26)/4</f>
        <v>85.879751347730888</v>
      </c>
    </row>
    <row r="27" spans="1:16" x14ac:dyDescent="0.25">
      <c r="A27" t="s">
        <v>52</v>
      </c>
      <c r="B27">
        <v>19995.0293793397</v>
      </c>
      <c r="C27">
        <v>106.746648747265</v>
      </c>
      <c r="D27" s="6">
        <v>106.067911051753</v>
      </c>
      <c r="E27" s="6">
        <v>117.862013085952</v>
      </c>
      <c r="F27">
        <v>123.020812843901</v>
      </c>
      <c r="G27" s="8">
        <v>3.4243865973862802</v>
      </c>
      <c r="H27">
        <v>198.878516435623</v>
      </c>
      <c r="I27">
        <v>193.56502606161001</v>
      </c>
      <c r="J27">
        <v>204.52682309183899</v>
      </c>
      <c r="K27">
        <v>207.255575950614</v>
      </c>
      <c r="L27" s="6">
        <f t="shared" ref="L27:L32" si="5">(H27-C27-G27)</f>
        <v>88.707481090971726</v>
      </c>
      <c r="M27" s="6">
        <f t="shared" ref="M27:M32" si="6">(I27-D27-G27)</f>
        <v>84.072728412470738</v>
      </c>
      <c r="N27" s="6">
        <f t="shared" ref="N27:N32" si="7">(J27-E27-G27)</f>
        <v>83.240423408500718</v>
      </c>
      <c r="O27" s="6">
        <f t="shared" ref="O27:O32" si="8">(K27-F27-G27)</f>
        <v>80.81037650932673</v>
      </c>
      <c r="P27" s="9">
        <f t="shared" ref="P27:P32" si="9">(L27+M27+N27+O27)/4</f>
        <v>84.207752355317467</v>
      </c>
    </row>
    <row r="28" spans="1:16" x14ac:dyDescent="0.25">
      <c r="A28" t="s">
        <v>53</v>
      </c>
      <c r="B28">
        <v>138.138762226811</v>
      </c>
      <c r="C28">
        <v>11.2682738745265</v>
      </c>
      <c r="D28" s="6">
        <v>11.1841406676281</v>
      </c>
      <c r="E28" s="6">
        <v>11.0258072177275</v>
      </c>
      <c r="F28">
        <v>11.0649394160403</v>
      </c>
      <c r="G28" s="8">
        <v>3.4322229428683699</v>
      </c>
      <c r="H28">
        <v>104.699721246761</v>
      </c>
      <c r="I28">
        <v>103.176413636536</v>
      </c>
      <c r="J28">
        <v>100.929154780147</v>
      </c>
      <c r="K28">
        <v>95.117645530865104</v>
      </c>
      <c r="L28" s="6">
        <f t="shared" si="5"/>
        <v>89.999224429366137</v>
      </c>
      <c r="M28" s="6">
        <f t="shared" si="6"/>
        <v>88.560050026039534</v>
      </c>
      <c r="N28" s="6">
        <f t="shared" si="7"/>
        <v>86.471124619551134</v>
      </c>
      <c r="O28" s="6">
        <f t="shared" si="8"/>
        <v>80.620483171956437</v>
      </c>
      <c r="P28" s="9">
        <f t="shared" si="9"/>
        <v>86.412720561728307</v>
      </c>
    </row>
    <row r="29" spans="1:16" x14ac:dyDescent="0.25">
      <c r="A29" t="s">
        <v>54</v>
      </c>
      <c r="B29">
        <v>54800.687812623502</v>
      </c>
      <c r="C29">
        <v>64.767009309883903</v>
      </c>
      <c r="D29" s="6">
        <v>72.4037472078886</v>
      </c>
      <c r="E29" s="6">
        <v>78.781588723359107</v>
      </c>
      <c r="F29">
        <v>88.852265229373302</v>
      </c>
      <c r="G29" s="8">
        <v>3.4322229428683699</v>
      </c>
      <c r="H29">
        <v>164.52485036118699</v>
      </c>
      <c r="I29">
        <v>172.540658884236</v>
      </c>
      <c r="J29">
        <v>183.230999074528</v>
      </c>
      <c r="K29">
        <v>182.358312283896</v>
      </c>
      <c r="L29" s="6">
        <f t="shared" si="5"/>
        <v>96.325618108434725</v>
      </c>
      <c r="M29" s="6">
        <f t="shared" si="6"/>
        <v>96.704688733479031</v>
      </c>
      <c r="N29" s="6">
        <f t="shared" si="7"/>
        <v>101.01718740830053</v>
      </c>
      <c r="O29" s="6">
        <f t="shared" si="8"/>
        <v>90.073824111654332</v>
      </c>
      <c r="P29" s="9">
        <f t="shared" si="9"/>
        <v>96.030329590467161</v>
      </c>
    </row>
    <row r="30" spans="1:16" x14ac:dyDescent="0.25">
      <c r="A30" t="s">
        <v>41</v>
      </c>
      <c r="B30">
        <v>6011.8293762207004</v>
      </c>
      <c r="C30">
        <v>13.7873021123293</v>
      </c>
      <c r="D30" s="6">
        <v>22.490014621644601</v>
      </c>
      <c r="E30" s="6">
        <v>37.305102812492102</v>
      </c>
      <c r="F30">
        <v>54.420109575413903</v>
      </c>
      <c r="G30" s="8">
        <v>3.4031658544935599</v>
      </c>
      <c r="H30">
        <v>103.10741371392299</v>
      </c>
      <c r="I30">
        <v>113.343025767809</v>
      </c>
      <c r="J30">
        <v>128.083347378882</v>
      </c>
      <c r="K30">
        <v>139.43136468744001</v>
      </c>
      <c r="L30" s="6">
        <f t="shared" si="5"/>
        <v>85.916945747100129</v>
      </c>
      <c r="M30" s="6">
        <f t="shared" si="6"/>
        <v>87.449845291670826</v>
      </c>
      <c r="N30" s="6">
        <f t="shared" si="7"/>
        <v>87.375078711896336</v>
      </c>
      <c r="O30" s="6">
        <f t="shared" si="8"/>
        <v>81.608089257532541</v>
      </c>
      <c r="P30" s="9">
        <f t="shared" si="9"/>
        <v>85.587489752049947</v>
      </c>
    </row>
    <row r="31" spans="1:16" x14ac:dyDescent="0.25">
      <c r="A31" t="s">
        <v>42</v>
      </c>
      <c r="B31">
        <v>47.943197763883099</v>
      </c>
      <c r="C31" s="6">
        <v>11.4811841212213</v>
      </c>
      <c r="D31" s="6">
        <v>10.6480205078108</v>
      </c>
      <c r="E31" s="6">
        <v>10.915173121256901</v>
      </c>
      <c r="F31">
        <v>11.0722959164007</v>
      </c>
      <c r="G31" s="8">
        <v>3.4400745046623098</v>
      </c>
      <c r="H31">
        <v>103.38036423672099</v>
      </c>
      <c r="I31">
        <v>103.99572480142</v>
      </c>
      <c r="J31">
        <v>99.234147304171998</v>
      </c>
      <c r="K31">
        <v>94.367099788090897</v>
      </c>
      <c r="L31" s="6">
        <f t="shared" si="5"/>
        <v>88.459105610837383</v>
      </c>
      <c r="M31" s="6">
        <f t="shared" si="6"/>
        <v>89.907629788946892</v>
      </c>
      <c r="N31" s="6">
        <f t="shared" si="7"/>
        <v>84.878899678252793</v>
      </c>
      <c r="O31" s="6">
        <f t="shared" si="8"/>
        <v>79.854729367027886</v>
      </c>
      <c r="P31" s="9">
        <f t="shared" si="9"/>
        <v>85.775091111266221</v>
      </c>
    </row>
    <row r="32" spans="1:16" x14ac:dyDescent="0.25">
      <c r="A32" t="s">
        <v>55</v>
      </c>
      <c r="B32">
        <v>54.362399237496497</v>
      </c>
      <c r="C32">
        <v>12.9621852923768</v>
      </c>
      <c r="D32">
        <v>15.323743060902</v>
      </c>
      <c r="E32">
        <v>37.042560603958101</v>
      </c>
      <c r="F32">
        <v>53.041429329361399</v>
      </c>
      <c r="G32" s="8">
        <v>3.4400745046623098</v>
      </c>
      <c r="H32">
        <v>101.70695238601699</v>
      </c>
      <c r="I32">
        <v>110.026416640646</v>
      </c>
      <c r="J32">
        <v>122.731095552444</v>
      </c>
      <c r="K32">
        <v>138.09521327147601</v>
      </c>
      <c r="L32" s="6">
        <f t="shared" si="5"/>
        <v>85.304692588977886</v>
      </c>
      <c r="M32" s="6">
        <f t="shared" si="6"/>
        <v>91.262599075081695</v>
      </c>
      <c r="N32" s="6">
        <f t="shared" si="7"/>
        <v>82.248460443823603</v>
      </c>
      <c r="O32" s="6">
        <f t="shared" si="8"/>
        <v>81.613709437452314</v>
      </c>
      <c r="P32" s="9">
        <f t="shared" si="9"/>
        <v>85.107365386333882</v>
      </c>
    </row>
    <row r="39" spans="1:16" x14ac:dyDescent="0.25">
      <c r="A39" s="1" t="s">
        <v>58</v>
      </c>
    </row>
    <row r="40" spans="1:16" x14ac:dyDescent="0.25">
      <c r="A40" s="2" t="s">
        <v>0</v>
      </c>
      <c r="B40" s="2" t="s">
        <v>44</v>
      </c>
      <c r="C40" s="2" t="s">
        <v>47</v>
      </c>
      <c r="D40" s="2" t="s">
        <v>48</v>
      </c>
      <c r="E40" s="2" t="s">
        <v>49</v>
      </c>
      <c r="F40" s="2" t="s">
        <v>50</v>
      </c>
      <c r="G40" s="2" t="s">
        <v>56</v>
      </c>
      <c r="H40" s="2" t="s">
        <v>80</v>
      </c>
      <c r="I40" s="2" t="s">
        <v>81</v>
      </c>
      <c r="J40" s="2" t="s">
        <v>82</v>
      </c>
      <c r="K40" s="2" t="s">
        <v>83</v>
      </c>
      <c r="L40" s="2" t="s">
        <v>59</v>
      </c>
      <c r="M40" s="2" t="s">
        <v>60</v>
      </c>
      <c r="N40" s="2" t="s">
        <v>61</v>
      </c>
      <c r="O40" s="2" t="s">
        <v>62</v>
      </c>
      <c r="P40" s="2" t="s">
        <v>84</v>
      </c>
    </row>
    <row r="41" spans="1:16" x14ac:dyDescent="0.25">
      <c r="A41" t="s">
        <v>51</v>
      </c>
      <c r="B41">
        <v>3144.16048723623</v>
      </c>
      <c r="C41" s="6">
        <v>16.172406414180401</v>
      </c>
      <c r="D41">
        <v>16.584852244704901</v>
      </c>
      <c r="E41" s="6">
        <v>15.076120185435499</v>
      </c>
      <c r="F41">
        <v>15.3296778046866</v>
      </c>
      <c r="G41" s="8">
        <v>3.4243865973862802</v>
      </c>
      <c r="H41">
        <v>1266.3802028626401</v>
      </c>
      <c r="I41">
        <v>1239.2457168881199</v>
      </c>
      <c r="J41">
        <v>1312.1272076882999</v>
      </c>
      <c r="K41">
        <v>1330.2754645709399</v>
      </c>
      <c r="L41" s="6">
        <f>(H41-C41-G41)</f>
        <v>1246.7834098510734</v>
      </c>
      <c r="M41" s="6">
        <f>(I41-D41-G41)</f>
        <v>1219.2364780460287</v>
      </c>
      <c r="N41" s="6">
        <f>(J41-E41-G41)</f>
        <v>1293.6267009054782</v>
      </c>
      <c r="O41" s="6">
        <f>(K41-F41-G41)</f>
        <v>1311.5214001688671</v>
      </c>
      <c r="P41" s="9">
        <f>(L41+M41+N41+O41)/4</f>
        <v>1267.791997242862</v>
      </c>
    </row>
    <row r="42" spans="1:16" x14ac:dyDescent="0.25">
      <c r="A42" t="s">
        <v>52</v>
      </c>
      <c r="B42">
        <v>137100.715637207</v>
      </c>
      <c r="C42" s="6">
        <v>152.29655436061199</v>
      </c>
      <c r="D42" s="6">
        <v>144.29762564570601</v>
      </c>
      <c r="E42" s="6">
        <v>160.05635477709001</v>
      </c>
      <c r="F42">
        <v>173.15498055168001</v>
      </c>
      <c r="G42" s="8">
        <v>3.4243865973862802</v>
      </c>
      <c r="H42">
        <v>1398.5665355409801</v>
      </c>
      <c r="I42">
        <v>1381.67841990958</v>
      </c>
      <c r="J42">
        <v>1465.4698619411599</v>
      </c>
      <c r="K42">
        <v>1479.3596455648601</v>
      </c>
      <c r="L42" s="6">
        <f t="shared" ref="L42:L47" si="10">(H42-C42-G42)</f>
        <v>1242.8455945829819</v>
      </c>
      <c r="M42" s="6">
        <f t="shared" ref="M42:M47" si="11">(I42-D42-G42)</f>
        <v>1233.9564076664878</v>
      </c>
      <c r="N42" s="6">
        <f t="shared" ref="N42:N47" si="12">(J42-E42-G42)</f>
        <v>1301.9891205666836</v>
      </c>
      <c r="O42" s="6">
        <f t="shared" ref="O42:O47" si="13">(K42-F42-G42)</f>
        <v>1302.7802784157939</v>
      </c>
      <c r="P42" s="9">
        <f t="shared" ref="P42:P47" si="14">(L42+M42+N42+O42)/4</f>
        <v>1270.3928503079869</v>
      </c>
    </row>
    <row r="43" spans="1:16" x14ac:dyDescent="0.25">
      <c r="A43" t="s">
        <v>53</v>
      </c>
      <c r="B43">
        <v>3125.5087894675999</v>
      </c>
      <c r="C43" s="6">
        <v>15.7964597682774</v>
      </c>
      <c r="D43" s="6">
        <v>15.5367968936068</v>
      </c>
      <c r="E43" s="6">
        <v>15.848920827399199</v>
      </c>
      <c r="F43">
        <v>16.407635592953898</v>
      </c>
      <c r="G43" s="8">
        <v>3.4322229428683699</v>
      </c>
      <c r="H43">
        <v>1270.54629717892</v>
      </c>
      <c r="I43">
        <v>1241.23775242325</v>
      </c>
      <c r="J43">
        <v>1301.87346783812</v>
      </c>
      <c r="K43">
        <v>1312.7505429759001</v>
      </c>
      <c r="L43" s="6">
        <f t="shared" si="10"/>
        <v>1251.3176144677743</v>
      </c>
      <c r="M43" s="6">
        <f t="shared" si="11"/>
        <v>1222.2687325867748</v>
      </c>
      <c r="N43" s="6">
        <f t="shared" si="12"/>
        <v>1282.5923240678524</v>
      </c>
      <c r="O43" s="6">
        <f t="shared" si="13"/>
        <v>1292.9106844400778</v>
      </c>
      <c r="P43" s="9">
        <f t="shared" si="14"/>
        <v>1262.2723388906197</v>
      </c>
    </row>
    <row r="44" spans="1:16" x14ac:dyDescent="0.25">
      <c r="A44" t="s">
        <v>54</v>
      </c>
      <c r="B44">
        <v>3642.0171727304801</v>
      </c>
      <c r="C44" s="6">
        <v>91.448995502374501</v>
      </c>
      <c r="D44" s="6">
        <v>99.246079891339605</v>
      </c>
      <c r="E44" s="6">
        <v>119.293467306038</v>
      </c>
      <c r="F44">
        <v>117.303567854397</v>
      </c>
      <c r="G44" s="8">
        <v>3.4322229428683699</v>
      </c>
      <c r="H44">
        <v>1353.1058268342799</v>
      </c>
      <c r="I44">
        <v>1340.8253010552301</v>
      </c>
      <c r="J44">
        <v>1432.73518285777</v>
      </c>
      <c r="K44">
        <v>1428.9955440608901</v>
      </c>
      <c r="L44" s="6">
        <f t="shared" si="10"/>
        <v>1258.224608389037</v>
      </c>
      <c r="M44" s="6">
        <f t="shared" si="11"/>
        <v>1238.1469982210222</v>
      </c>
      <c r="N44" s="6">
        <f t="shared" si="12"/>
        <v>1310.0094926088639</v>
      </c>
      <c r="O44" s="6">
        <f t="shared" si="13"/>
        <v>1308.2597532636248</v>
      </c>
      <c r="P44" s="9">
        <f t="shared" si="14"/>
        <v>1278.6602131206369</v>
      </c>
    </row>
    <row r="45" spans="1:16" x14ac:dyDescent="0.25">
      <c r="A45" t="s">
        <v>41</v>
      </c>
      <c r="B45">
        <v>3232.9062776467199</v>
      </c>
      <c r="C45" s="6">
        <v>17.691985893020401</v>
      </c>
      <c r="D45" s="6">
        <v>30.922681124659299</v>
      </c>
      <c r="E45" s="6">
        <v>53.687758967397997</v>
      </c>
      <c r="F45">
        <v>76.816073135976595</v>
      </c>
      <c r="G45" s="8">
        <v>3.4031658544935599</v>
      </c>
      <c r="H45">
        <v>1258.5168948821799</v>
      </c>
      <c r="I45">
        <v>1262.7569204172701</v>
      </c>
      <c r="J45">
        <v>1337.6830662981699</v>
      </c>
      <c r="K45">
        <v>1377.28891171451</v>
      </c>
      <c r="L45" s="6">
        <f t="shared" si="10"/>
        <v>1237.4217431346658</v>
      </c>
      <c r="M45" s="6">
        <f t="shared" si="11"/>
        <v>1228.4310734381172</v>
      </c>
      <c r="N45" s="6">
        <f t="shared" si="12"/>
        <v>1280.5921414762784</v>
      </c>
      <c r="O45" s="6">
        <f t="shared" si="13"/>
        <v>1297.0696727240397</v>
      </c>
      <c r="P45" s="9">
        <f t="shared" si="14"/>
        <v>1260.8786576932753</v>
      </c>
    </row>
    <row r="46" spans="1:16" x14ac:dyDescent="0.25">
      <c r="A46" t="s">
        <v>42</v>
      </c>
      <c r="B46">
        <v>2798.6146199334498</v>
      </c>
      <c r="C46" s="6">
        <v>15.552245469805801</v>
      </c>
      <c r="D46" s="6">
        <v>15.6987551942034</v>
      </c>
      <c r="E46" s="6">
        <v>15.9379273775171</v>
      </c>
      <c r="F46">
        <v>14.6978477089423</v>
      </c>
      <c r="G46" s="8">
        <v>3.4400745046623098</v>
      </c>
      <c r="H46">
        <v>1262.12741147269</v>
      </c>
      <c r="I46">
        <v>1247.39613110657</v>
      </c>
      <c r="J46">
        <v>1312.9196750561</v>
      </c>
      <c r="K46">
        <v>1309.10656011622</v>
      </c>
      <c r="L46" s="6">
        <f t="shared" si="10"/>
        <v>1243.135091498222</v>
      </c>
      <c r="M46" s="6">
        <f t="shared" si="11"/>
        <v>1228.2573014077043</v>
      </c>
      <c r="N46" s="6">
        <f t="shared" si="12"/>
        <v>1293.5416731739206</v>
      </c>
      <c r="O46" s="6">
        <f t="shared" si="13"/>
        <v>1290.9686379026152</v>
      </c>
      <c r="P46" s="9">
        <f t="shared" si="14"/>
        <v>1263.9756759956156</v>
      </c>
    </row>
    <row r="47" spans="1:16" x14ac:dyDescent="0.25">
      <c r="A47" t="s">
        <v>55</v>
      </c>
      <c r="B47">
        <v>3012.9789593293399</v>
      </c>
      <c r="C47" s="6">
        <v>15.354518245541801</v>
      </c>
      <c r="D47">
        <v>26.029806109409702</v>
      </c>
      <c r="E47">
        <v>52.645299658298597</v>
      </c>
      <c r="F47">
        <v>73.765081063023601</v>
      </c>
      <c r="G47" s="8">
        <v>3.4400745046623098</v>
      </c>
      <c r="H47">
        <v>1269.7002746903299</v>
      </c>
      <c r="I47">
        <v>1271.2879097467801</v>
      </c>
      <c r="J47">
        <v>1357.9602965453701</v>
      </c>
      <c r="K47">
        <v>1372.6979691172101</v>
      </c>
      <c r="L47" s="6">
        <f t="shared" si="10"/>
        <v>1250.9056819401258</v>
      </c>
      <c r="M47" s="6">
        <f t="shared" si="11"/>
        <v>1241.818029132708</v>
      </c>
      <c r="N47" s="6">
        <f t="shared" si="12"/>
        <v>1301.8749223824091</v>
      </c>
      <c r="O47" s="6">
        <f t="shared" si="13"/>
        <v>1295.492813549524</v>
      </c>
      <c r="P47" s="9">
        <f t="shared" si="14"/>
        <v>1272.5228617511916</v>
      </c>
    </row>
    <row r="53" spans="2:16" x14ac:dyDescent="0.25">
      <c r="J53" t="s">
        <v>90</v>
      </c>
      <c r="K53" s="2" t="s">
        <v>85</v>
      </c>
      <c r="L53" t="s">
        <v>86</v>
      </c>
      <c r="M53" t="s">
        <v>91</v>
      </c>
      <c r="N53" t="s">
        <v>89</v>
      </c>
      <c r="O53" t="s">
        <v>88</v>
      </c>
      <c r="P53" t="s">
        <v>87</v>
      </c>
    </row>
    <row r="54" spans="2:16" x14ac:dyDescent="0.25">
      <c r="J54" s="8">
        <v>3.4243865973862802</v>
      </c>
      <c r="K54" s="2">
        <v>1.80840492248535</v>
      </c>
      <c r="L54">
        <v>0.53922044867672203</v>
      </c>
      <c r="M54">
        <v>4.3880832130522629E-2</v>
      </c>
      <c r="N54" s="6">
        <f>M54-K54</f>
        <v>-1.7645240903548274</v>
      </c>
      <c r="O54" s="10">
        <f>J54+K54+N54+L54</f>
        <v>4.0074878781935244</v>
      </c>
      <c r="P54">
        <v>4.0050931003851096</v>
      </c>
    </row>
    <row r="55" spans="2:16" x14ac:dyDescent="0.25">
      <c r="D55" s="10"/>
      <c r="F55" s="10"/>
      <c r="G55" s="10"/>
      <c r="J55" s="8">
        <v>3.4243865973862802</v>
      </c>
      <c r="K55" s="2">
        <v>25.537014007568299</v>
      </c>
      <c r="L55">
        <v>45.082622893090097</v>
      </c>
      <c r="M55">
        <v>5.2427444664404215</v>
      </c>
      <c r="N55" s="6">
        <f t="shared" ref="N55:N60" si="15">M55-K55</f>
        <v>-20.294269541127878</v>
      </c>
      <c r="O55" s="10">
        <f t="shared" ref="O55:O60" si="16">J55+K55+N55+L55</f>
        <v>53.749753956916798</v>
      </c>
      <c r="P55">
        <v>54.5115243820917</v>
      </c>
    </row>
    <row r="56" spans="2:16" x14ac:dyDescent="0.25">
      <c r="B56" s="10"/>
      <c r="D56" s="10"/>
      <c r="F56" s="10"/>
      <c r="G56" s="10"/>
      <c r="J56" s="8">
        <v>3.4322229428683699</v>
      </c>
      <c r="K56" s="2">
        <v>0.39505958557128901</v>
      </c>
      <c r="L56">
        <v>0.54917054483667005</v>
      </c>
      <c r="M56">
        <v>0.17087024937428297</v>
      </c>
      <c r="N56" s="6">
        <f t="shared" si="15"/>
        <v>-0.22418933619700604</v>
      </c>
      <c r="O56" s="10">
        <f t="shared" si="16"/>
        <v>4.1522637370793225</v>
      </c>
      <c r="P56">
        <v>4.0775397573838204</v>
      </c>
    </row>
    <row r="57" spans="2:16" x14ac:dyDescent="0.25">
      <c r="D57" s="10"/>
      <c r="F57" s="10"/>
      <c r="G57" s="10"/>
      <c r="J57" s="8">
        <v>3.4322229428683699</v>
      </c>
      <c r="K57" s="2">
        <v>15.4211521148681</v>
      </c>
      <c r="L57">
        <v>34.394685960258002</v>
      </c>
      <c r="M57">
        <v>9.6000442380037558</v>
      </c>
      <c r="N57" s="6">
        <f t="shared" si="15"/>
        <v>-5.8211078768643443</v>
      </c>
      <c r="O57" s="10">
        <f t="shared" si="16"/>
        <v>47.426953141130127</v>
      </c>
      <c r="P57">
        <v>47.1892843685389</v>
      </c>
    </row>
    <row r="58" spans="2:16" x14ac:dyDescent="0.25">
      <c r="D58" s="10"/>
      <c r="F58" s="10"/>
      <c r="G58" s="10"/>
      <c r="J58" s="8">
        <v>3.4031658544935599</v>
      </c>
      <c r="K58" s="2">
        <v>3.9656162261962802</v>
      </c>
      <c r="L58">
        <v>6.2376752522495398</v>
      </c>
      <c r="M58">
        <v>1.2156685698951224</v>
      </c>
      <c r="N58" s="6">
        <f t="shared" si="15"/>
        <v>-2.749947656301158</v>
      </c>
      <c r="O58" s="10">
        <f t="shared" si="16"/>
        <v>10.856509676638222</v>
      </c>
      <c r="P58">
        <v>11.208388920637001</v>
      </c>
    </row>
    <row r="59" spans="2:16" x14ac:dyDescent="0.25">
      <c r="D59" s="10"/>
      <c r="F59" s="10"/>
      <c r="G59" s="10"/>
      <c r="J59" s="8">
        <v>3.4400745046623098</v>
      </c>
      <c r="K59" s="2">
        <v>0.38695335388183499</v>
      </c>
      <c r="L59">
        <v>0.54279469219126897</v>
      </c>
      <c r="M59">
        <v>0.14936036961757015</v>
      </c>
      <c r="N59" s="6">
        <f t="shared" si="15"/>
        <v>-0.23759298426426484</v>
      </c>
      <c r="O59" s="10">
        <f t="shared" si="16"/>
        <v>4.1322295664711488</v>
      </c>
      <c r="P59">
        <v>4.1074357013928502</v>
      </c>
    </row>
    <row r="60" spans="2:16" x14ac:dyDescent="0.25">
      <c r="D60" s="10"/>
      <c r="F60" s="10"/>
      <c r="G60" s="10"/>
      <c r="J60" s="8">
        <v>3.4400745046623098</v>
      </c>
      <c r="K60" s="2">
        <v>3.5953521728515598</v>
      </c>
      <c r="L60">
        <v>5.9257052455949104</v>
      </c>
      <c r="M60">
        <v>0.41487396002467236</v>
      </c>
      <c r="N60" s="6">
        <f t="shared" si="15"/>
        <v>-3.1804782128268876</v>
      </c>
      <c r="O60" s="10">
        <f t="shared" si="16"/>
        <v>9.7806537102818929</v>
      </c>
      <c r="P60">
        <v>9.8390835440481492</v>
      </c>
    </row>
    <row r="61" spans="2:16" x14ac:dyDescent="0.25">
      <c r="D61" s="10"/>
      <c r="F61" s="10"/>
      <c r="G61" s="10"/>
    </row>
    <row r="67" spans="1:16" x14ac:dyDescent="0.25">
      <c r="O67" s="10"/>
    </row>
    <row r="68" spans="1:16" x14ac:dyDescent="0.25">
      <c r="O68" s="10"/>
    </row>
    <row r="69" spans="1:16" x14ac:dyDescent="0.25">
      <c r="B69" t="s">
        <v>94</v>
      </c>
      <c r="C69" t="s">
        <v>95</v>
      </c>
      <c r="D69" t="s">
        <v>93</v>
      </c>
      <c r="E69" t="s">
        <v>92</v>
      </c>
      <c r="F69" t="s">
        <v>88</v>
      </c>
      <c r="H69" t="s">
        <v>66</v>
      </c>
      <c r="I69" t="s">
        <v>99</v>
      </c>
      <c r="J69" s="2" t="s">
        <v>97</v>
      </c>
      <c r="K69" t="s">
        <v>96</v>
      </c>
      <c r="L69" t="s">
        <v>98</v>
      </c>
      <c r="P69" s="10"/>
    </row>
    <row r="70" spans="1:16" x14ac:dyDescent="0.25">
      <c r="A70" t="s">
        <v>51</v>
      </c>
      <c r="B70">
        <v>1.80840492248535</v>
      </c>
      <c r="C70">
        <v>4.1486054322107613E-2</v>
      </c>
      <c r="D70">
        <f>B70-C70</f>
        <v>1.7669188681632424</v>
      </c>
      <c r="E70">
        <v>0.53922044867672203</v>
      </c>
      <c r="F70">
        <f>C70+D70+E70</f>
        <v>2.347625371162072</v>
      </c>
      <c r="H70">
        <v>4.0050931003851096</v>
      </c>
      <c r="I70">
        <v>0.53922044867672203</v>
      </c>
      <c r="J70" s="2">
        <v>1.80840492248535</v>
      </c>
      <c r="K70">
        <v>4.1486054322107613E-2</v>
      </c>
      <c r="L70">
        <f>J70-K70</f>
        <v>1.7669188681632424</v>
      </c>
      <c r="M70" s="6"/>
      <c r="O70" s="10"/>
    </row>
    <row r="71" spans="1:16" x14ac:dyDescent="0.25">
      <c r="A71" t="s">
        <v>52</v>
      </c>
      <c r="B71">
        <v>25.537014007568299</v>
      </c>
      <c r="C71">
        <v>6.0045148916153233</v>
      </c>
      <c r="D71">
        <f t="shared" ref="D71:D76" si="17">B71-C71</f>
        <v>19.532499115952977</v>
      </c>
      <c r="E71">
        <v>45.082622893090097</v>
      </c>
      <c r="F71">
        <f t="shared" ref="F71:F76" si="18">C71+D71+E71</f>
        <v>70.619636900658392</v>
      </c>
      <c r="H71">
        <v>54.5115243820917</v>
      </c>
      <c r="I71">
        <v>45.082622893090097</v>
      </c>
      <c r="J71" s="2">
        <v>25.537014007568299</v>
      </c>
      <c r="K71">
        <v>6.0045148916153233</v>
      </c>
      <c r="L71">
        <f t="shared" ref="L71:L76" si="19">J71-K71</f>
        <v>19.532499115952977</v>
      </c>
      <c r="O71" s="10"/>
    </row>
    <row r="72" spans="1:16" x14ac:dyDescent="0.25">
      <c r="A72" t="s">
        <v>53</v>
      </c>
      <c r="B72">
        <v>0.39505958557128901</v>
      </c>
      <c r="C72">
        <v>9.6146269678780261E-2</v>
      </c>
      <c r="D72">
        <f t="shared" si="17"/>
        <v>0.29891331589250875</v>
      </c>
      <c r="E72">
        <v>0.54917054483667005</v>
      </c>
      <c r="F72">
        <f t="shared" si="18"/>
        <v>0.944230130407959</v>
      </c>
      <c r="H72">
        <v>4.0775397573838204</v>
      </c>
      <c r="I72">
        <v>0.54917054483667005</v>
      </c>
      <c r="J72" s="2">
        <v>0.39505958557128901</v>
      </c>
      <c r="K72">
        <v>9.6146269678780261E-2</v>
      </c>
      <c r="L72">
        <f t="shared" si="19"/>
        <v>0.29891331589250875</v>
      </c>
      <c r="O72" s="10"/>
    </row>
    <row r="73" spans="1:16" x14ac:dyDescent="0.25">
      <c r="A73" t="s">
        <v>54</v>
      </c>
      <c r="B73">
        <v>15.4211521148681</v>
      </c>
      <c r="C73">
        <v>9.3623754654125282</v>
      </c>
      <c r="D73">
        <f t="shared" si="17"/>
        <v>6.0587766494555719</v>
      </c>
      <c r="E73">
        <v>34.394685960258002</v>
      </c>
      <c r="F73">
        <f t="shared" si="18"/>
        <v>49.815838075126102</v>
      </c>
      <c r="H73">
        <v>47.1892843685389</v>
      </c>
      <c r="I73">
        <v>34.394685960258002</v>
      </c>
      <c r="J73" s="2">
        <v>15.4211521148681</v>
      </c>
      <c r="K73">
        <v>9.3623754654125282</v>
      </c>
      <c r="L73">
        <f t="shared" si="19"/>
        <v>6.0587766494555719</v>
      </c>
      <c r="O73" s="10"/>
    </row>
    <row r="74" spans="1:16" x14ac:dyDescent="0.25">
      <c r="A74" t="s">
        <v>41</v>
      </c>
      <c r="B74">
        <v>3.9656162261962802</v>
      </c>
      <c r="C74">
        <v>1.567547813893901</v>
      </c>
      <c r="D74">
        <f t="shared" si="17"/>
        <v>2.3980684123023792</v>
      </c>
      <c r="E74">
        <v>6.2376752522495398</v>
      </c>
      <c r="F74">
        <f t="shared" si="18"/>
        <v>10.20329147844582</v>
      </c>
      <c r="H74">
        <v>11.208388920637001</v>
      </c>
      <c r="I74">
        <v>6.2376752522495398</v>
      </c>
      <c r="J74" s="2">
        <v>3.9656162261962802</v>
      </c>
      <c r="K74">
        <v>1.567547813893901</v>
      </c>
      <c r="L74">
        <f t="shared" si="19"/>
        <v>2.3980684123023792</v>
      </c>
    </row>
    <row r="75" spans="1:16" x14ac:dyDescent="0.25">
      <c r="A75" t="s">
        <v>42</v>
      </c>
      <c r="B75">
        <v>0.38695335388183499</v>
      </c>
      <c r="C75">
        <v>0.12456650453927143</v>
      </c>
      <c r="D75">
        <f t="shared" si="17"/>
        <v>0.26238684934256357</v>
      </c>
      <c r="E75">
        <v>0.54279469219126897</v>
      </c>
      <c r="F75">
        <f t="shared" si="18"/>
        <v>0.92974804607310402</v>
      </c>
      <c r="H75">
        <v>4.1074357013928502</v>
      </c>
      <c r="I75">
        <v>0.54279469219126897</v>
      </c>
      <c r="J75" s="2">
        <v>0.38695335388183499</v>
      </c>
      <c r="K75">
        <v>0.12456650453927143</v>
      </c>
      <c r="L75">
        <f t="shared" si="19"/>
        <v>0.26238684934256357</v>
      </c>
    </row>
    <row r="76" spans="1:16" x14ac:dyDescent="0.25">
      <c r="A76" t="s">
        <v>55</v>
      </c>
      <c r="B76">
        <v>3.5953521728515598</v>
      </c>
      <c r="C76">
        <v>0.47330379379092902</v>
      </c>
      <c r="D76">
        <f t="shared" si="17"/>
        <v>3.1220483790606308</v>
      </c>
      <c r="E76">
        <v>5.9257052455949104</v>
      </c>
      <c r="F76">
        <f t="shared" si="18"/>
        <v>9.5210574184464711</v>
      </c>
      <c r="H76">
        <v>9.8390835440481492</v>
      </c>
      <c r="I76">
        <v>5.9257052455949104</v>
      </c>
      <c r="J76" s="2">
        <v>3.5953521728515598</v>
      </c>
      <c r="K76">
        <v>0.47330379379092902</v>
      </c>
      <c r="L76">
        <f t="shared" si="19"/>
        <v>3.1220483790606308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M6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Ritesh Shrestha</dc:creator>
  <cp:lastModifiedBy>Ritesh Shrestha</cp:lastModifiedBy>
  <dcterms:created xsi:type="dcterms:W3CDTF">2015-06-05T18:17:20Z</dcterms:created>
  <dcterms:modified xsi:type="dcterms:W3CDTF">2023-04-16T12:59:37Z</dcterms:modified>
</cp:coreProperties>
</file>