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06EB9B0E-6CFB-4D03-9107-E51ADB4479C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" i="2" l="1"/>
  <c r="J72" i="2"/>
  <c r="J73" i="2"/>
  <c r="J74" i="2"/>
  <c r="J75" i="2"/>
  <c r="J76" i="2"/>
  <c r="J70" i="2"/>
  <c r="F71" i="2"/>
  <c r="F72" i="2"/>
  <c r="F73" i="2"/>
  <c r="F74" i="2"/>
  <c r="F75" i="2"/>
  <c r="F76" i="2"/>
  <c r="F70" i="2"/>
  <c r="D71" i="2"/>
  <c r="D72" i="2"/>
  <c r="D73" i="2"/>
  <c r="D74" i="2"/>
  <c r="D75" i="2"/>
  <c r="D76" i="2"/>
  <c r="D70" i="2"/>
  <c r="D56" i="2"/>
  <c r="D57" i="2"/>
  <c r="D58" i="2"/>
  <c r="D59" i="2"/>
  <c r="G59" i="2" s="1"/>
  <c r="D60" i="2"/>
  <c r="G60" i="2" s="1"/>
  <c r="D61" i="2"/>
  <c r="D55" i="2"/>
  <c r="G55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54" i="2"/>
  <c r="O54" i="2" s="1"/>
  <c r="G56" i="2"/>
  <c r="G57" i="2"/>
  <c r="G58" i="2"/>
  <c r="G61" i="2"/>
  <c r="F56" i="2"/>
  <c r="F57" i="2"/>
  <c r="F58" i="2"/>
  <c r="F61" i="2"/>
  <c r="N47" i="2"/>
  <c r="P47" i="2" s="1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P12" i="2" s="1"/>
  <c r="L13" i="2"/>
  <c r="L14" i="2"/>
  <c r="L15" i="2"/>
  <c r="L16" i="2"/>
  <c r="P16" i="2" s="1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F60" i="2" l="1"/>
  <c r="F59" i="2"/>
  <c r="F55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<sst xmlns="http://schemas.openxmlformats.org/spreadsheetml/2006/main" count="179" uniqueCount="100">
  <si>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</si>
  <si>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</si>
  <si>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</si>
  <si>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</si>
  <si>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</si>
  <si>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</si>
  <si>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</si>
  <si>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</si>
  <si>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</si>
  <si>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</si>
  <si>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</si>
  <si>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</si>
  <si>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</si>
  <si>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</si>
  <si>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</si>
  <si>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</si>
  <si>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</si>
  <si>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</si>
  <si>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</si>
  <si>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</si>
  <si>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</si>
  <si>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</si>
  <si>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</si>
  <si>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</si>
  <si>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</si>
  <si>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</si>
  <si>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</si>
  <si>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</si>
  <si>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</si>
  <si>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</si>
  <si>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</si>
  <si>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</si>
  <si>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</si>
  <si>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</si>
  <si>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</si>
  <si>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</si>
  <si>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</si>
  <si>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</si>
  <si>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</si>
  <si>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</si>
  <si>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</si>
  <si>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</si>
  <si>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</si>
  <si>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</si>
  <si>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</si>
  <si>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</si>
  <si>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</si>
  <si>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</si>
  <si>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</si>
  <si>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</si>
  <si>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</si>
  <si>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</si>
  <si>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</si>
  <si>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</si>
  <si>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</si>
  <si>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</si>
  <si>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</si>
  <si>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</si>
  <si>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</si>
  <si>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</si>
  <si>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</si>
  <si>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</si>
  <si>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</si>
  <si>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</si>
  <si>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</si>
  <si>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</si>
  <si>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</si>
  <si>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</si>
  <si>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</si>
  <si>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</si>
  <si>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</si>
  <si>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</si>
  <si>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</si>
  <si>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</si>
  <si>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</si>
  <si>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</si>
  <si>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</si>
  <si>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</si>
  <si>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</si>
  <si>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</si>
  <si>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</si>
  <si>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</si>
  <si>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</si>
  <si>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</si>
  <si>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</si>
  <si>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Asynchronous Calls</t>
  </si>
  <si>
    <t>Synchronous Calls(Execution_Times)</t>
  </si>
  <si>
    <t>10_Clients</t>
  </si>
  <si>
    <t>100_Clients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</si>
  <si>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</si>
  <si>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</si>
  <si>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</si>
  <si>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</si>
  <si>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</si>
  <si>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</si>
  <si>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</si>
  <si>
    <t>Internal_Response_Time</t>
  </si>
  <si>
    <t>Waiting_Times</t>
  </si>
  <si>
    <t>Total_Execution_Time</t>
  </si>
  <si>
    <t>Only_Middleware_Processing_Time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</si>
</sst>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76"/>
  <sheetViews>
    <sheetView tabSelected="1" topLeftCell="A27" zoomScale="91" zoomScaleNormal="91" workbookViewId="0">
      <selection activeCell="K58" sqref="K58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1:16" x14ac:dyDescent="0.25">
      <c r="J53" t="s">
        <v>94</v>
      </c>
      <c r="K53" t="s">
        <v>89</v>
      </c>
      <c r="L53" t="s">
        <v>90</v>
      </c>
      <c r="M53" t="s">
        <v>95</v>
      </c>
      <c r="N53" t="s">
        <v>93</v>
      </c>
      <c r="O53" t="s">
        <v>92</v>
      </c>
      <c r="P53" t="s">
        <v>91</v>
      </c>
    </row>
    <row r="54" spans="1:16" x14ac:dyDescent="0.25">
      <c r="A54" t="s">
        <v>85</v>
      </c>
      <c r="D54" t="s">
        <v>86</v>
      </c>
      <c r="F54" t="s">
        <v>87</v>
      </c>
      <c r="G54" t="s">
        <v>88</v>
      </c>
      <c r="J54" s="8">
        <v>3.4243865973862802</v>
      </c>
      <c r="K54">
        <v>1.80840492248535</v>
      </c>
      <c r="L54">
        <v>0.53922044867672203</v>
      </c>
      <c r="M54">
        <v>4.3880832130522629E-2</v>
      </c>
      <c r="N54" s="6">
        <f>M54-K54</f>
        <v>-1.7645240903548274</v>
      </c>
      <c r="O54" s="10">
        <f>J54+K54+N54+L54</f>
        <v>4.0074878781935244</v>
      </c>
      <c r="P54">
        <v>4.0050931003851096</v>
      </c>
    </row>
    <row r="55" spans="1:16" x14ac:dyDescent="0.25">
      <c r="A55" t="s">
        <v>51</v>
      </c>
      <c r="D55" s="10">
        <f>0.0000552122000008239*1000</f>
        <v>5.5212200000823899E-2</v>
      </c>
      <c r="F55" s="10">
        <f>D55*10</f>
        <v>0.55212200000823897</v>
      </c>
      <c r="G55" s="10">
        <f>D55*100</f>
        <v>5.5212200000823897</v>
      </c>
      <c r="J55" s="8">
        <v>3.4243865973862802</v>
      </c>
      <c r="K55">
        <v>25.537014007568299</v>
      </c>
      <c r="L55">
        <v>45.082622893090097</v>
      </c>
      <c r="M55">
        <v>5.2427444664404215</v>
      </c>
      <c r="N55" s="6">
        <f t="shared" ref="N55:N60" si="15">M55-K55</f>
        <v>-20.294269541127878</v>
      </c>
      <c r="O55" s="10">
        <f t="shared" ref="O55:O60" si="16">J55+K55+N55+L55</f>
        <v>53.749753956916798</v>
      </c>
      <c r="P55">
        <v>54.5115243820917</v>
      </c>
    </row>
    <row r="56" spans="1:16" x14ac:dyDescent="0.25">
      <c r="A56" t="s">
        <v>52</v>
      </c>
      <c r="B56" s="10">
        <v>1.2000018614344299E-7</v>
      </c>
      <c r="D56" s="10">
        <f t="shared" ref="D56:D61" si="17">0.0000552122000008239*1000</f>
        <v>5.5212200000823899E-2</v>
      </c>
      <c r="F56" s="10">
        <f t="shared" ref="F56:F61" si="18">D56*10</f>
        <v>0.55212200000823897</v>
      </c>
      <c r="G56" s="10">
        <f t="shared" ref="G56:G61" si="19">D56*100</f>
        <v>5.5212200000823897</v>
      </c>
      <c r="J56" s="8">
        <v>3.4322229428683699</v>
      </c>
      <c r="K56">
        <v>0.39505958557128901</v>
      </c>
      <c r="L56">
        <v>0.54917054483667005</v>
      </c>
      <c r="M56">
        <v>0.17087024937428297</v>
      </c>
      <c r="N56" s="6">
        <f t="shared" si="15"/>
        <v>-0.22418933619700604</v>
      </c>
      <c r="O56" s="10">
        <f t="shared" si="16"/>
        <v>4.1522637370793225</v>
      </c>
      <c r="P56">
        <v>4.0775397573838204</v>
      </c>
    </row>
    <row r="57" spans="1:16" x14ac:dyDescent="0.25">
      <c r="A57" t="s">
        <v>53</v>
      </c>
      <c r="D57" s="10">
        <f t="shared" si="17"/>
        <v>5.5212200000823899E-2</v>
      </c>
      <c r="F57" s="10">
        <f t="shared" si="18"/>
        <v>0.55212200000823897</v>
      </c>
      <c r="G57" s="10">
        <f t="shared" si="19"/>
        <v>5.5212200000823897</v>
      </c>
      <c r="J57" s="8">
        <v>3.4322229428683699</v>
      </c>
      <c r="K57">
        <v>15.4211521148681</v>
      </c>
      <c r="L57">
        <v>34.394685960258002</v>
      </c>
      <c r="M57">
        <v>9.6000442380037558</v>
      </c>
      <c r="N57" s="6">
        <f t="shared" si="15"/>
        <v>-5.8211078768643443</v>
      </c>
      <c r="O57" s="10">
        <f t="shared" si="16"/>
        <v>47.426953141130127</v>
      </c>
      <c r="P57">
        <v>47.1892843685389</v>
      </c>
    </row>
    <row r="58" spans="1:16" x14ac:dyDescent="0.25">
      <c r="A58" t="s">
        <v>54</v>
      </c>
      <c r="D58" s="10">
        <f t="shared" si="17"/>
        <v>5.5212200000823899E-2</v>
      </c>
      <c r="F58" s="10">
        <f t="shared" si="18"/>
        <v>0.55212200000823897</v>
      </c>
      <c r="G58" s="10">
        <f t="shared" si="19"/>
        <v>5.5212200000823897</v>
      </c>
      <c r="J58" s="8">
        <v>3.4031658544935599</v>
      </c>
      <c r="K58">
        <v>3.9656162261962802</v>
      </c>
      <c r="L58">
        <v>6.2376752522495398</v>
      </c>
      <c r="M58">
        <v>1.2156685698951224</v>
      </c>
      <c r="N58" s="6">
        <f t="shared" si="15"/>
        <v>-2.749947656301158</v>
      </c>
      <c r="O58" s="10">
        <f t="shared" si="16"/>
        <v>10.856509676638222</v>
      </c>
      <c r="P58">
        <v>11.208388920637001</v>
      </c>
    </row>
    <row r="59" spans="1:16" x14ac:dyDescent="0.25">
      <c r="A59" t="s">
        <v>41</v>
      </c>
      <c r="D59" s="10">
        <f t="shared" si="17"/>
        <v>5.5212200000823899E-2</v>
      </c>
      <c r="F59" s="10">
        <f t="shared" si="18"/>
        <v>0.55212200000823897</v>
      </c>
      <c r="G59" s="10">
        <f t="shared" si="19"/>
        <v>5.5212200000823897</v>
      </c>
      <c r="J59" s="8">
        <v>3.4400745046623098</v>
      </c>
      <c r="K59">
        <v>0.38695335388183499</v>
      </c>
      <c r="L59">
        <v>0.54279469219126897</v>
      </c>
      <c r="M59">
        <v>0.14936036961757015</v>
      </c>
      <c r="N59" s="6">
        <f t="shared" si="15"/>
        <v>-0.23759298426426484</v>
      </c>
      <c r="O59" s="10">
        <f t="shared" si="16"/>
        <v>4.1322295664711488</v>
      </c>
      <c r="P59">
        <v>4.1074357013928502</v>
      </c>
    </row>
    <row r="60" spans="1:16" x14ac:dyDescent="0.25">
      <c r="A60" t="s">
        <v>42</v>
      </c>
      <c r="D60" s="10">
        <f t="shared" si="17"/>
        <v>5.5212200000823899E-2</v>
      </c>
      <c r="F60" s="10">
        <f t="shared" si="18"/>
        <v>0.55212200000823897</v>
      </c>
      <c r="G60" s="10">
        <f t="shared" si="19"/>
        <v>5.5212200000823897</v>
      </c>
      <c r="J60" s="8">
        <v>3.4400745046623098</v>
      </c>
      <c r="K60">
        <v>3.5953521728515598</v>
      </c>
      <c r="L60">
        <v>5.9257052455949104</v>
      </c>
      <c r="M60">
        <v>0.41487396002467236</v>
      </c>
      <c r="N60" s="6">
        <f t="shared" si="15"/>
        <v>-3.1804782128268876</v>
      </c>
      <c r="O60" s="10">
        <f t="shared" si="16"/>
        <v>9.7806537102818929</v>
      </c>
      <c r="P60">
        <v>9.8390835440481492</v>
      </c>
    </row>
    <row r="61" spans="1:16" x14ac:dyDescent="0.25">
      <c r="A61" t="s">
        <v>55</v>
      </c>
      <c r="D61" s="10">
        <f t="shared" si="17"/>
        <v>5.5212200000823899E-2</v>
      </c>
      <c r="F61" s="10">
        <f t="shared" si="18"/>
        <v>0.55212200000823897</v>
      </c>
      <c r="G61" s="10">
        <f t="shared" si="19"/>
        <v>5.5212200000823897</v>
      </c>
    </row>
    <row r="67" spans="1:15" x14ac:dyDescent="0.25">
      <c r="O67" s="10">
        <v>4.0074878781935244</v>
      </c>
    </row>
    <row r="68" spans="1:15" x14ac:dyDescent="0.25">
      <c r="O68" s="10">
        <v>53.749753956916798</v>
      </c>
    </row>
    <row r="69" spans="1:15" x14ac:dyDescent="0.25">
      <c r="B69" t="s">
        <v>98</v>
      </c>
      <c r="C69" t="s">
        <v>99</v>
      </c>
      <c r="D69" t="s">
        <v>97</v>
      </c>
      <c r="E69" t="s">
        <v>96</v>
      </c>
      <c r="F69" t="s">
        <v>92</v>
      </c>
      <c r="H69" t="s">
        <v>66</v>
      </c>
      <c r="O69" s="10">
        <v>4.1522637370793225</v>
      </c>
    </row>
    <row r="70" spans="1:15" x14ac:dyDescent="0.25">
      <c r="A70" t="s">
        <v>51</v>
      </c>
      <c r="B70">
        <v>1.80840492248535</v>
      </c>
      <c r="C70">
        <v>4.1486054322107613E-2</v>
      </c>
      <c r="D70">
        <f>B70-C70</f>
        <v>1.7669188681632424</v>
      </c>
      <c r="E70">
        <v>0.53922044867672203</v>
      </c>
      <c r="F70">
        <f>C70+D70+E70</f>
        <v>2.347625371162072</v>
      </c>
      <c r="H70">
        <v>4.0050931003851096</v>
      </c>
      <c r="I70">
        <v>1.80840492248535</v>
      </c>
      <c r="J70">
        <f>H70-I70</f>
        <v>2.1966881778997598</v>
      </c>
      <c r="O70" s="10">
        <v>47.426953141130127</v>
      </c>
    </row>
    <row r="71" spans="1:15" x14ac:dyDescent="0.25">
      <c r="A71" t="s">
        <v>52</v>
      </c>
      <c r="B71">
        <v>25.537014007568299</v>
      </c>
      <c r="C71">
        <v>6.0045148916153233</v>
      </c>
      <c r="D71">
        <f t="shared" ref="D71:D76" si="20">B71-C71</f>
        <v>19.532499115952977</v>
      </c>
      <c r="E71">
        <v>45.082622893090097</v>
      </c>
      <c r="F71">
        <f t="shared" ref="F71:F76" si="21">C71+D71+E71</f>
        <v>70.619636900658392</v>
      </c>
      <c r="H71">
        <v>54.5115243820917</v>
      </c>
      <c r="I71">
        <v>25.537014007568299</v>
      </c>
      <c r="J71">
        <f t="shared" ref="J71:J76" si="22">H71-I71</f>
        <v>28.974510374523401</v>
      </c>
      <c r="O71" s="10">
        <v>10.856509676638222</v>
      </c>
    </row>
    <row r="72" spans="1:15" x14ac:dyDescent="0.25">
      <c r="A72" t="s">
        <v>53</v>
      </c>
      <c r="B72">
        <v>0.39505958557128901</v>
      </c>
      <c r="C72">
        <v>9.6146269678780261E-2</v>
      </c>
      <c r="D72">
        <f t="shared" si="20"/>
        <v>0.29891331589250875</v>
      </c>
      <c r="E72">
        <v>0.54917054483667005</v>
      </c>
      <c r="F72">
        <f t="shared" si="21"/>
        <v>0.944230130407959</v>
      </c>
      <c r="H72">
        <v>4.0775397573838204</v>
      </c>
      <c r="I72">
        <v>0.39505958557128901</v>
      </c>
      <c r="J72">
        <f t="shared" si="22"/>
        <v>3.6824801718125313</v>
      </c>
      <c r="O72" s="10">
        <v>4.1322295664711488</v>
      </c>
    </row>
    <row r="73" spans="1:15" x14ac:dyDescent="0.25">
      <c r="A73" t="s">
        <v>54</v>
      </c>
      <c r="B73">
        <v>15.4211521148681</v>
      </c>
      <c r="C73">
        <v>9.3623754654125282</v>
      </c>
      <c r="D73">
        <f t="shared" si="20"/>
        <v>6.0587766494555719</v>
      </c>
      <c r="E73">
        <v>34.394685960258002</v>
      </c>
      <c r="F73">
        <f t="shared" si="21"/>
        <v>49.815838075126102</v>
      </c>
      <c r="H73">
        <v>47.1892843685389</v>
      </c>
      <c r="I73">
        <v>15.4211521148681</v>
      </c>
      <c r="J73">
        <f t="shared" si="22"/>
        <v>31.7681322536708</v>
      </c>
      <c r="O73" s="10">
        <v>9.7806537102818929</v>
      </c>
    </row>
    <row r="74" spans="1:15" x14ac:dyDescent="0.25">
      <c r="A74" t="s">
        <v>41</v>
      </c>
      <c r="B74">
        <v>3.9656162261962802</v>
      </c>
      <c r="C74">
        <v>1.567547813893901</v>
      </c>
      <c r="D74">
        <f t="shared" si="20"/>
        <v>2.3980684123023792</v>
      </c>
      <c r="E74">
        <v>6.2376752522495398</v>
      </c>
      <c r="F74">
        <f t="shared" si="21"/>
        <v>10.20329147844582</v>
      </c>
      <c r="H74">
        <v>11.208388920637001</v>
      </c>
      <c r="I74">
        <v>3.9656162261962802</v>
      </c>
      <c r="J74">
        <f t="shared" si="22"/>
        <v>7.2427726944407205</v>
      </c>
    </row>
    <row r="75" spans="1:15" x14ac:dyDescent="0.25">
      <c r="A75" t="s">
        <v>42</v>
      </c>
      <c r="B75">
        <v>0.38695335388183499</v>
      </c>
      <c r="C75">
        <v>0.12456650453927143</v>
      </c>
      <c r="D75">
        <f t="shared" si="20"/>
        <v>0.26238684934256357</v>
      </c>
      <c r="E75">
        <v>0.54279469219126897</v>
      </c>
      <c r="F75">
        <f t="shared" si="21"/>
        <v>0.92974804607310402</v>
      </c>
      <c r="H75">
        <v>4.1074357013928502</v>
      </c>
      <c r="I75">
        <v>0.38695335388183499</v>
      </c>
      <c r="J75">
        <f t="shared" si="22"/>
        <v>3.7204823475110151</v>
      </c>
    </row>
    <row r="76" spans="1:15" x14ac:dyDescent="0.25">
      <c r="A76" t="s">
        <v>55</v>
      </c>
      <c r="B76">
        <v>3.5953521728515598</v>
      </c>
      <c r="C76">
        <v>0.47330379379092902</v>
      </c>
      <c r="D76">
        <f t="shared" si="20"/>
        <v>3.1220483790606308</v>
      </c>
      <c r="E76">
        <v>5.9257052455949104</v>
      </c>
      <c r="F76">
        <f t="shared" si="21"/>
        <v>9.5210574184464711</v>
      </c>
      <c r="H76">
        <v>9.8390835440481492</v>
      </c>
      <c r="I76">
        <v>3.5953521728515598</v>
      </c>
      <c r="J76">
        <f t="shared" si="22"/>
        <v>6.2437313711965894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2023-04-14T14:58:05Z</dcterms:modified>
</cp:coreProperties>
</file>