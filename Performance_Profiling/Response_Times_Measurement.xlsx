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D:\tuSemesters\Semester Winter 2022_23\Bachelor Thesis\sharded-distributed-databases\Performance_Profiling\"/>
    </mc:Choice>
  </mc:AlternateContent>
  <xr:revisionPtr revIDLastSave="0" documentId="13_ncr:1_{4934EBB0-5B46-4943-BCB8-F2406F24939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M6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1" l="1"/>
  <c r="I13" i="1"/>
  <c r="I14" i="1"/>
  <c r="I11" i="1"/>
</calcChain>
</file>

<file path=xl/sharedStrings.xml><?xml version="1.0" encoding="utf-8"?>
<sst xmlns="http://schemas.openxmlformats.org/spreadsheetml/2006/main" count="28" uniqueCount="28">
  <si>
    <t>Functions</t>
  </si>
  <si>
    <t>Total_Requests</t>
  </si>
  <si>
    <t>Response_Time_Metric: milliseconds</t>
  </si>
  <si>
    <t>M6: Middleware with 6 database servers</t>
  </si>
  <si>
    <t>M4: Middleware with 4 database servers</t>
  </si>
  <si>
    <t>M2: Middleware with 2 database servers</t>
  </si>
  <si>
    <t>M1: Middleware with 1 database server</t>
  </si>
  <si>
    <t>Get-Range</t>
  </si>
  <si>
    <t>Delete</t>
  </si>
  <si>
    <t>Total_Concurrent_Clients: 1000</t>
  </si>
  <si>
    <t>Spawn_Rate: 100 Clients/Seconds</t>
  </si>
  <si>
    <t>Runtime: 5 Minutes (including warm-up and cool-down time)</t>
  </si>
  <si>
    <t>Evaluation_Runtime: 2 Minutes</t>
  </si>
  <si>
    <t>Warm-Up_Time: 2 Minutes</t>
  </si>
  <si>
    <t>Cool-Down_Time: 1 Minute</t>
  </si>
  <si>
    <t>Average_Response_Time_Per_Requests: M1-M6</t>
  </si>
  <si>
    <t>Set</t>
  </si>
  <si>
    <t>Get</t>
  </si>
  <si>
    <t>Throughput</t>
  </si>
  <si>
    <t>Baseline:Response_Time</t>
  </si>
  <si>
    <t>Baseline:Requests_Per_Second(RPS)</t>
  </si>
  <si>
    <t>Baseline:Client Connected to Single Redis Instance Without Middleware</t>
  </si>
  <si>
    <t>M6-DB:Average_Response_Time</t>
  </si>
  <si>
    <t>M6-DB:Total_Response_Time</t>
  </si>
  <si>
    <t>M6:Requests_Per_Second(RPS)</t>
  </si>
  <si>
    <t>Client-M6:Average_Response_Time</t>
  </si>
  <si>
    <t>M6 Internal Processing Time</t>
  </si>
  <si>
    <t>Client-Middleware Response Time (Base Communication)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</si>
</sst>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"/>
  <sheetViews>
    <sheetView tabSelected="1" workbookViewId="0">
      <selection activeCell="J22" sqref="J22"/>
    </sheetView>
  </sheetViews>
  <sheetFormatPr defaultRowHeight="15" x14ac:dyDescent="0.25"/>
  <cols>
    <col min="1" max="1" width="52.28515625" customWidth="1"/>
    <col min="2" max="2" width="32.42578125" customWidth="1"/>
    <col min="3" max="3" width="30" customWidth="1"/>
    <col min="4" max="4" width="34.5703125" customWidth="1"/>
    <col min="5" max="5" width="27.28515625" customWidth="1"/>
    <col min="6" max="6" width="30.28515625" customWidth="1"/>
    <col min="7" max="7" width="35.7109375" customWidth="1"/>
    <col min="8" max="8" width="37.85546875" customWidth="1"/>
    <col min="9" max="9" width="31.28515625" customWidth="1"/>
    <col min="10" max="10" width="56.28515625" customWidth="1"/>
  </cols>
  <sheetData>
    <row r="1" spans="1:10" x14ac:dyDescent="0.25">
      <c r="A1" t="s">
        <v>21</v>
      </c>
      <c r="B1" t="s">
        <v>9</v>
      </c>
      <c r="C1" t="s">
        <v>11</v>
      </c>
      <c r="E1" t="s">
        <v>13</v>
      </c>
    </row>
    <row r="2" spans="1:10" x14ac:dyDescent="0.25">
      <c r="A2" s="1" t="s">
        <v>2</v>
      </c>
      <c r="B2" t="s">
        <v>10</v>
      </c>
      <c r="C2" t="s">
        <v>12</v>
      </c>
      <c r="E2" t="s">
        <v>14</v>
      </c>
    </row>
    <row r="4" spans="1:10" x14ac:dyDescent="0.25">
      <c r="A4" t="s">
        <v>3</v>
      </c>
    </row>
    <row r="5" spans="1:10" x14ac:dyDescent="0.25">
      <c r="A5" t="s">
        <v>4</v>
      </c>
    </row>
    <row r="6" spans="1:10" x14ac:dyDescent="0.25">
      <c r="A6" t="s">
        <v>5</v>
      </c>
    </row>
    <row r="7" spans="1:10" x14ac:dyDescent="0.25">
      <c r="A7" t="s">
        <v>6</v>
      </c>
    </row>
    <row r="8" spans="1:10" x14ac:dyDescent="0.25">
      <c r="A8" t="s">
        <v>15</v>
      </c>
    </row>
    <row r="9" spans="1:10" x14ac:dyDescent="0.25">
      <c r="C9" t="s">
        <v>18</v>
      </c>
    </row>
    <row r="10" spans="1:10" x14ac:dyDescent="0.25">
      <c r="A10" t="s">
        <v>0</v>
      </c>
      <c r="B10" t="s">
        <v>1</v>
      </c>
      <c r="C10" t="s">
        <v>24</v>
      </c>
      <c r="D10" t="s">
        <v>25</v>
      </c>
      <c r="E10" t="s">
        <v>23</v>
      </c>
      <c r="F10" t="s">
        <v>22</v>
      </c>
      <c r="G10" t="s">
        <v>19</v>
      </c>
      <c r="H10" t="s">
        <v>20</v>
      </c>
      <c r="I10" s="1" t="s">
        <v>26</v>
      </c>
      <c r="J10" s="1" t="s">
        <v>27</v>
      </c>
    </row>
    <row r="11" spans="1:10" x14ac:dyDescent="0.25">
      <c r="A11" t="s">
        <v>16</v>
      </c>
      <c r="B11">
        <v>11942</v>
      </c>
      <c r="D11">
        <v>9196.4009272318253</v>
      </c>
      <c r="E11">
        <v>1018360.3970850317</v>
      </c>
      <c r="F11">
        <v>85.275531492633704</v>
      </c>
      <c r="G11">
        <v>3.4243865973862802</v>
      </c>
      <c r="I11">
        <f>F11-G11</f>
        <v>81.85114489524743</v>
      </c>
    </row>
    <row r="12" spans="1:10" x14ac:dyDescent="0.25">
      <c r="A12" t="s">
        <v>17</v>
      </c>
      <c r="B12">
        <v>12491</v>
      </c>
      <c r="D12">
        <v>9183.8560924287813</v>
      </c>
      <c r="E12">
        <v>475452.95695960498</v>
      </c>
      <c r="F12">
        <v>38.063642379281497</v>
      </c>
      <c r="G12">
        <v>3.4322229428683699</v>
      </c>
      <c r="I12">
        <f t="shared" ref="I12:I14" si="0">F12-G12</f>
        <v>34.631419436413125</v>
      </c>
    </row>
    <row r="13" spans="1:10" x14ac:dyDescent="0.25">
      <c r="A13" t="s">
        <v>7</v>
      </c>
      <c r="B13">
        <v>9795</v>
      </c>
      <c r="D13">
        <v>9183.9702836643701</v>
      </c>
      <c r="E13">
        <v>567651.17784589506</v>
      </c>
      <c r="F13">
        <v>57.953157513618699</v>
      </c>
      <c r="G13">
        <v>3.4031658544935599</v>
      </c>
      <c r="I13">
        <f t="shared" si="0"/>
        <v>54.549991659125141</v>
      </c>
    </row>
    <row r="14" spans="1:10" x14ac:dyDescent="0.25">
      <c r="A14" t="s">
        <v>8</v>
      </c>
      <c r="B14">
        <v>10671</v>
      </c>
      <c r="D14">
        <v>9165.6664454259699</v>
      </c>
      <c r="E14">
        <v>582540.25277588505</v>
      </c>
      <c r="F14">
        <v>54.590971115723399</v>
      </c>
      <c r="G14">
        <v>3.4400745046623098</v>
      </c>
      <c r="I14">
        <f t="shared" si="0"/>
        <v>51.150896611061086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Ritesh Shrestha</dc:creator>
  <cp:lastModifiedBy>Ritesh Shrestha</cp:lastModifiedBy>
  <dcterms:created xsi:type="dcterms:W3CDTF">2015-06-05T18:17:20Z</dcterms:created>
  <dcterms:modified xsi:type="dcterms:W3CDTF">2023-04-03T08:36:42Z</dcterms:modified>
</cp:coreProperties>
</file>