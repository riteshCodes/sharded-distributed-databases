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8244B535-C10E-4BEC-B89F-D97E3F5807A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J28" i="1"/>
  <c r="J29" i="1"/>
  <c r="J30" i="1"/>
  <c r="J27" i="1"/>
  <c r="J20" i="1"/>
  <c r="J21" i="1"/>
  <c r="J22" i="1"/>
  <c r="J19" i="1"/>
  <c r="E27" i="1"/>
  <c r="D28" i="1"/>
  <c r="E28" i="1" s="1"/>
  <c r="E20" i="1"/>
  <c r="C23" i="1"/>
  <c r="B31" i="1"/>
  <c r="C31" i="1"/>
  <c r="E29" i="1"/>
  <c r="E30" i="1"/>
  <c r="E21" i="1"/>
  <c r="E22" i="1"/>
  <c r="B23" i="1"/>
  <c r="J12" i="1"/>
  <c r="J13" i="1"/>
  <c r="J14" i="1"/>
  <c r="J11" i="1"/>
</calcChain>
</file>

<file path=xl/sharedStrings.xml><?xml version="1.0" encoding="utf-8"?>
<sst xmlns="http://schemas.openxmlformats.org/spreadsheetml/2006/main" count="65" uniqueCount="41">
  <si>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</si>
  <si>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</si>
  <si>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</si>
  <si>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</si>
  <si>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</si>
  <si>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</si>
  <si>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</si>
  <si>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</si>
  <si>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</si>
  <si>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</si>
  <si>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</si>
  <si>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</si>
  <si>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</si>
  <si>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</si>
  <si>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</si>
  <si>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</si>
  <si>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</si>
  <si>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</si>
  <si>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</si>
  <si>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Baseline:Requests_Per_Second(RPS)</t>
  </si>
  <si>
    <t>Baseline:Client Connected to Single Redis Instance Without Middleware</t>
  </si>
  <si>
    <t>M6-DB:Total_Response_Time</t>
  </si>
  <si>
    <t>M6:Requests_Per_Second(RPS)</t>
  </si>
  <si>
    <t>M6 Internal Processing Time</t>
  </si>
  <si>
    <t>Client-Middleware Response Time (Base Communication)</t>
  </si>
  <si>
    <t>M1:Requests_Per_Second(RPS)</t>
  </si>
  <si>
    <t>M1-DB:Total_Response_Time</t>
  </si>
  <si>
    <t>M1 Internal Processing Time</t>
  </si>
  <si>
    <t>M6-DB:Average_Response_Time_Per_Key_Value_Pair</t>
  </si>
  <si>
    <t>Internal_Processing_Time = Middleware-DB_Response time -2 * (Baseline:Response_Time)</t>
  </si>
  <si>
    <t>Aggregated</t>
  </si>
  <si>
    <t>Client-M6:Total_Response_Time</t>
  </si>
  <si>
    <t>Client-M1:Total_Response_Time</t>
  </si>
  <si>
    <t>Average: 10308.8449338528</t>
  </si>
  <si>
    <t>Average: 2.23743497389716</t>
  </si>
  <si>
    <t>Average: 1.67175195084388</t>
  </si>
  <si>
    <t>Baseline:Response_Time_Per_Key_Value_Pair</t>
  </si>
  <si>
    <t>Client-M6:Communication_Response_Time</t>
  </si>
  <si>
    <t>Client-M1:Communication_Response_Time(gRPC)</t>
  </si>
  <si>
    <t>Client-M6:Communication_Response_Time(gRPC)</t>
  </si>
  <si>
    <t>Average: 8913.04358205774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</si>
</sst>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000"/>
    <numFmt numFmtId="167" formatCode="0.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9">
    <xf numFmtId="0" fontId="0" fillId="0" borderId="0" xfId="0"/>
    <xf numFmtId="0" fontId="1" fillId="0" borderId="0" xfId="0" applyFont="1"/>
    <xf numFmtId="0" fontId="2" fillId="2" borderId="1" xfId="1"/>
    <xf numFmtId="0" fontId="1" fillId="0" borderId="0" xfId="0" applyFont="1" applyAlignment="1">
      <alignment horizontal="center"/>
    </xf>
    <xf numFmtId="0" fontId="0" fillId="3" borderId="0" xfId="0" applyFill="1"/>
    <xf numFmtId="0" fontId="1" fillId="0" borderId="0" xfId="0" applyFont="1" applyAlignment="1">
      <alignment horizontal="right" indent="1"/>
    </xf>
    <xf numFmtId="166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right"/>
    </xf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tabSelected="1" topLeftCell="B1" workbookViewId="0">
      <selection activeCell="I44" sqref="I44"/>
    </sheetView>
  </sheetViews>
  <sheetFormatPr defaultRowHeight="15" x14ac:dyDescent="0.25"/>
  <cols>
    <col min="1" max="1" width="52.28515625" customWidth="1"/>
    <col min="2" max="2" width="32.42578125" customWidth="1"/>
    <col min="3" max="3" width="28.85546875" customWidth="1"/>
    <col min="4" max="4" width="34.5703125" customWidth="1"/>
    <col min="5" max="5" width="52" customWidth="1"/>
    <col min="6" max="6" width="57" customWidth="1"/>
    <col min="7" max="7" width="54.42578125" customWidth="1"/>
    <col min="8" max="8" width="37.28515625" customWidth="1"/>
    <col min="9" max="9" width="33.42578125" customWidth="1"/>
    <col min="10" max="10" width="27" customWidth="1"/>
    <col min="11" max="11" width="36.5703125" customWidth="1"/>
  </cols>
  <sheetData>
    <row r="1" spans="1:11" x14ac:dyDescent="0.25">
      <c r="A1" t="s">
        <v>20</v>
      </c>
      <c r="B1" t="s">
        <v>9</v>
      </c>
      <c r="C1" t="s">
        <v>11</v>
      </c>
      <c r="F1" t="s">
        <v>13</v>
      </c>
    </row>
    <row r="2" spans="1:11" x14ac:dyDescent="0.25">
      <c r="A2" s="1" t="s">
        <v>2</v>
      </c>
      <c r="B2" t="s">
        <v>10</v>
      </c>
      <c r="C2" t="s">
        <v>12</v>
      </c>
      <c r="F2" t="s">
        <v>14</v>
      </c>
    </row>
    <row r="4" spans="1:11" x14ac:dyDescent="0.25">
      <c r="A4" t="s">
        <v>3</v>
      </c>
    </row>
    <row r="5" spans="1:11" x14ac:dyDescent="0.25">
      <c r="A5" t="s">
        <v>4</v>
      </c>
      <c r="F5" s="3" t="s">
        <v>29</v>
      </c>
      <c r="G5" s="3"/>
    </row>
    <row r="6" spans="1:11" x14ac:dyDescent="0.25">
      <c r="A6" t="s">
        <v>5</v>
      </c>
    </row>
    <row r="7" spans="1:11" x14ac:dyDescent="0.25">
      <c r="A7" t="s">
        <v>6</v>
      </c>
    </row>
    <row r="8" spans="1:11" x14ac:dyDescent="0.25">
      <c r="A8" t="s">
        <v>15</v>
      </c>
    </row>
    <row r="9" spans="1:11" x14ac:dyDescent="0.25">
      <c r="C9" t="s">
        <v>18</v>
      </c>
    </row>
    <row r="10" spans="1:11" x14ac:dyDescent="0.25">
      <c r="A10" t="s">
        <v>0</v>
      </c>
      <c r="B10" t="s">
        <v>1</v>
      </c>
      <c r="C10" t="s">
        <v>22</v>
      </c>
      <c r="D10" s="2" t="s">
        <v>31</v>
      </c>
      <c r="E10" s="2" t="s">
        <v>37</v>
      </c>
      <c r="F10" s="2" t="s">
        <v>21</v>
      </c>
      <c r="G10" s="2" t="s">
        <v>28</v>
      </c>
      <c r="H10" s="2" t="s">
        <v>36</v>
      </c>
      <c r="I10" s="2" t="s">
        <v>19</v>
      </c>
      <c r="J10" s="2" t="s">
        <v>23</v>
      </c>
      <c r="K10" s="2" t="s">
        <v>24</v>
      </c>
    </row>
    <row r="11" spans="1:11" x14ac:dyDescent="0.25">
      <c r="A11" t="s">
        <v>16</v>
      </c>
      <c r="B11">
        <v>11942</v>
      </c>
      <c r="D11">
        <v>9196.4009272318253</v>
      </c>
      <c r="F11">
        <v>1018360.3970850317</v>
      </c>
      <c r="G11">
        <v>85.275531492633704</v>
      </c>
      <c r="H11" s="4">
        <v>3.4243865973862802</v>
      </c>
      <c r="J11">
        <f>G11-(2*H11)</f>
        <v>78.426758297861142</v>
      </c>
    </row>
    <row r="12" spans="1:11" x14ac:dyDescent="0.25">
      <c r="A12" t="s">
        <v>17</v>
      </c>
      <c r="B12">
        <v>12491</v>
      </c>
      <c r="D12">
        <v>9183.8560924287813</v>
      </c>
      <c r="F12">
        <v>475452.95695960498</v>
      </c>
      <c r="G12">
        <v>38.063642379281497</v>
      </c>
      <c r="H12" s="4">
        <v>3.4322229428683699</v>
      </c>
      <c r="J12">
        <f t="shared" ref="J12:J14" si="0">G12-(2*H12)</f>
        <v>31.199196493544758</v>
      </c>
    </row>
    <row r="13" spans="1:11" x14ac:dyDescent="0.25">
      <c r="A13" t="s">
        <v>7</v>
      </c>
      <c r="B13">
        <v>9795</v>
      </c>
      <c r="D13">
        <v>9183.9702836643701</v>
      </c>
      <c r="F13">
        <v>567651.17784589506</v>
      </c>
      <c r="G13">
        <v>57.953157513618699</v>
      </c>
      <c r="H13" s="4">
        <v>3.4031658544935599</v>
      </c>
      <c r="J13">
        <f t="shared" si="0"/>
        <v>51.146825804631575</v>
      </c>
    </row>
    <row r="14" spans="1:11" x14ac:dyDescent="0.25">
      <c r="A14" t="s">
        <v>8</v>
      </c>
      <c r="B14">
        <v>10671</v>
      </c>
      <c r="D14">
        <v>9165.6664454259699</v>
      </c>
      <c r="F14">
        <v>582540.25277588505</v>
      </c>
      <c r="G14">
        <v>54.590971115723399</v>
      </c>
      <c r="H14" s="4">
        <v>3.4400745046623098</v>
      </c>
      <c r="J14">
        <f t="shared" si="0"/>
        <v>47.71082210639878</v>
      </c>
    </row>
    <row r="18" spans="1:11" x14ac:dyDescent="0.25">
      <c r="A18" t="s">
        <v>0</v>
      </c>
      <c r="B18" t="s">
        <v>1</v>
      </c>
      <c r="C18" t="s">
        <v>25</v>
      </c>
      <c r="D18" s="2" t="s">
        <v>32</v>
      </c>
      <c r="E18" s="2" t="s">
        <v>38</v>
      </c>
      <c r="F18" s="2" t="s">
        <v>26</v>
      </c>
      <c r="G18" s="2"/>
      <c r="H18" s="2" t="s">
        <v>36</v>
      </c>
      <c r="I18" s="2" t="s">
        <v>19</v>
      </c>
      <c r="J18" s="2" t="s">
        <v>27</v>
      </c>
      <c r="K18" s="2" t="s">
        <v>24</v>
      </c>
    </row>
    <row r="19" spans="1:11" x14ac:dyDescent="0.25">
      <c r="A19" t="s">
        <v>16</v>
      </c>
      <c r="B19">
        <v>10753</v>
      </c>
      <c r="C19">
        <v>35.8402182346125</v>
      </c>
      <c r="D19">
        <v>17844.025358590239</v>
      </c>
      <c r="E19">
        <f>D19/B19</f>
        <v>1.6594462344080945</v>
      </c>
      <c r="F19" s="6">
        <v>120887.90003769091</v>
      </c>
      <c r="G19">
        <v>53.670286270020398</v>
      </c>
      <c r="H19" s="4">
        <v>3.4243865973862802</v>
      </c>
      <c r="J19">
        <f>G19-(2*H19)</f>
        <v>46.821513075247836</v>
      </c>
    </row>
    <row r="20" spans="1:11" x14ac:dyDescent="0.25">
      <c r="A20" t="s">
        <v>17</v>
      </c>
      <c r="B20">
        <v>10743</v>
      </c>
      <c r="C20" s="7">
        <v>35.806887798237</v>
      </c>
      <c r="D20">
        <v>17810.691500573499</v>
      </c>
      <c r="E20">
        <f>D20/B20</f>
        <v>1.6578880667014335</v>
      </c>
      <c r="F20">
        <v>86850.022056140006</v>
      </c>
      <c r="G20">
        <v>19.613826119272801</v>
      </c>
      <c r="H20" s="4">
        <v>3.4322229428683699</v>
      </c>
      <c r="J20">
        <f t="shared" ref="J20:J22" si="1">G20-(2*H20)</f>
        <v>12.749380233536062</v>
      </c>
    </row>
    <row r="21" spans="1:11" x14ac:dyDescent="0.25">
      <c r="A21" t="s">
        <v>7</v>
      </c>
      <c r="B21">
        <v>5315</v>
      </c>
      <c r="C21">
        <v>17.7151269335967</v>
      </c>
      <c r="D21">
        <v>8917.6700800189392</v>
      </c>
      <c r="E21">
        <f t="shared" ref="E20:E22" si="2">D21/B21</f>
        <v>1.6778306829762821</v>
      </c>
      <c r="F21">
        <v>54144.182988442401</v>
      </c>
      <c r="G21">
        <v>24.499630311512401</v>
      </c>
      <c r="H21" s="4">
        <v>3.4031658544935599</v>
      </c>
      <c r="J21">
        <f t="shared" si="1"/>
        <v>17.693298602525282</v>
      </c>
    </row>
    <row r="22" spans="1:11" x14ac:dyDescent="0.25">
      <c r="A22" t="s">
        <v>8</v>
      </c>
      <c r="B22">
        <v>5264</v>
      </c>
      <c r="C22">
        <v>17.545141708081498</v>
      </c>
      <c r="D22">
        <v>8905.8606007410399</v>
      </c>
      <c r="E22">
        <f t="shared" si="2"/>
        <v>1.6918428192897113</v>
      </c>
      <c r="F22">
        <v>50546.400175429801</v>
      </c>
      <c r="G22">
        <v>22.6665471638699</v>
      </c>
      <c r="H22" s="4">
        <v>3.4400745046623098</v>
      </c>
      <c r="J22">
        <f t="shared" si="1"/>
        <v>15.786398154545282</v>
      </c>
    </row>
    <row r="23" spans="1:11" x14ac:dyDescent="0.25">
      <c r="A23" s="1" t="s">
        <v>30</v>
      </c>
      <c r="B23" s="1">
        <f>SUM(B19:B22)</f>
        <v>32075</v>
      </c>
      <c r="C23" s="1">
        <f>SUM(C19:C22)</f>
        <v>106.90737467452772</v>
      </c>
      <c r="H23" s="4"/>
    </row>
    <row r="24" spans="1:11" x14ac:dyDescent="0.25">
      <c r="D24" s="5" t="s">
        <v>40</v>
      </c>
      <c r="E24" s="8" t="s">
        <v>35</v>
      </c>
    </row>
    <row r="26" spans="1:11" x14ac:dyDescent="0.25">
      <c r="A26" t="s">
        <v>0</v>
      </c>
      <c r="B26" t="s">
        <v>1</v>
      </c>
      <c r="C26" t="s">
        <v>25</v>
      </c>
      <c r="D26" s="2" t="s">
        <v>31</v>
      </c>
      <c r="E26" s="2" t="s">
        <v>39</v>
      </c>
      <c r="F26" s="2" t="s">
        <v>21</v>
      </c>
      <c r="G26" s="2" t="s">
        <v>28</v>
      </c>
      <c r="H26" s="2" t="s">
        <v>36</v>
      </c>
      <c r="I26" s="2" t="s">
        <v>19</v>
      </c>
      <c r="J26" s="2" t="s">
        <v>23</v>
      </c>
      <c r="K26" s="2" t="s">
        <v>24</v>
      </c>
    </row>
    <row r="27" spans="1:11" x14ac:dyDescent="0.25">
      <c r="A27" t="s">
        <v>16</v>
      </c>
      <c r="B27">
        <v>9145</v>
      </c>
      <c r="C27">
        <v>30.4869067930452</v>
      </c>
      <c r="D27">
        <v>20541.8354965254</v>
      </c>
      <c r="E27">
        <f>D27/B27</f>
        <v>2.2462367956834774</v>
      </c>
      <c r="F27">
        <v>173579.49916180191</v>
      </c>
      <c r="G27">
        <v>89.672978634367993</v>
      </c>
      <c r="H27" s="4">
        <v>3.4243865973862802</v>
      </c>
      <c r="J27">
        <f>G27-(2*H27)</f>
        <v>82.824205439595431</v>
      </c>
    </row>
    <row r="28" spans="1:11" x14ac:dyDescent="0.25">
      <c r="A28" t="s">
        <v>17</v>
      </c>
      <c r="B28">
        <v>9346</v>
      </c>
      <c r="C28">
        <v>31.156985334915301</v>
      </c>
      <c r="D28" s="6">
        <f>SUM(D26:D27)</f>
        <v>20541.8354965254</v>
      </c>
      <c r="E28">
        <f t="shared" ref="E28:E31" si="3">D28/B28</f>
        <v>2.1979280437112561</v>
      </c>
      <c r="F28">
        <v>147825.71791764299</v>
      </c>
      <c r="G28">
        <v>38.506308392196701</v>
      </c>
      <c r="H28" s="4">
        <v>3.4322229428683699</v>
      </c>
      <c r="J28">
        <f t="shared" ref="J28:J30" si="4">G28-(2*H28)</f>
        <v>31.641862506459962</v>
      </c>
    </row>
    <row r="29" spans="1:11" x14ac:dyDescent="0.25">
      <c r="A29" t="s">
        <v>7</v>
      </c>
      <c r="B29">
        <v>4588</v>
      </c>
      <c r="C29">
        <v>15.295126119900599</v>
      </c>
      <c r="D29">
        <v>10318.449787772401</v>
      </c>
      <c r="E29">
        <f t="shared" si="3"/>
        <v>2.249008236218919</v>
      </c>
      <c r="F29">
        <v>95227.871495298998</v>
      </c>
      <c r="G29">
        <v>49.572030971004097</v>
      </c>
      <c r="H29" s="4">
        <v>3.4031658544935599</v>
      </c>
      <c r="J29">
        <f t="shared" si="4"/>
        <v>42.76569926201698</v>
      </c>
    </row>
    <row r="30" spans="1:11" x14ac:dyDescent="0.25">
      <c r="A30" t="s">
        <v>8</v>
      </c>
      <c r="B30">
        <v>4573</v>
      </c>
      <c r="C30">
        <v>15.245120258567001</v>
      </c>
      <c r="D30">
        <v>10319.2800677456</v>
      </c>
      <c r="E30">
        <f t="shared" si="3"/>
        <v>2.2565668199749838</v>
      </c>
      <c r="F30">
        <v>94887.388088740394</v>
      </c>
      <c r="G30">
        <v>50.046090764103504</v>
      </c>
      <c r="H30" s="4">
        <v>3.4400745046623098</v>
      </c>
      <c r="J30">
        <f t="shared" si="4"/>
        <v>43.165941754778885</v>
      </c>
    </row>
    <row r="31" spans="1:11" x14ac:dyDescent="0.25">
      <c r="A31" s="1" t="s">
        <v>30</v>
      </c>
      <c r="B31" s="1">
        <f>SUM(B27:B30)</f>
        <v>27652</v>
      </c>
      <c r="C31" s="1">
        <f>SUM(C27:C30)</f>
        <v>92.184138506428098</v>
      </c>
      <c r="D31" s="1"/>
      <c r="E31" s="1"/>
    </row>
    <row r="32" spans="1:11" x14ac:dyDescent="0.25">
      <c r="D32" s="5" t="s">
        <v>33</v>
      </c>
      <c r="E32" s="5" t="s">
        <v>34</v>
      </c>
    </row>
    <row r="33" spans="3:7" x14ac:dyDescent="0.25">
      <c r="E33" s="1"/>
    </row>
    <row r="41" spans="3:7" x14ac:dyDescent="0.25">
      <c r="C41" s="1"/>
    </row>
    <row r="44" spans="3:7" x14ac:dyDescent="0.25">
      <c r="G44" s="6"/>
    </row>
    <row r="49" spans="6:6" x14ac:dyDescent="0.25">
      <c r="F49" s="6"/>
    </row>
  </sheetData>
  <mergeCells count="1">
    <mergeCell ref="F5:G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2023-04-03T13:54:58Z</dcterms:modified>
</cp:coreProperties>
</file>