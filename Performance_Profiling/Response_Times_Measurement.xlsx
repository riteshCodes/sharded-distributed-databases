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904C84A0-69F6-4FEE-985A-ECE37AE8F27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2" l="1"/>
  <c r="H85" i="2"/>
  <c r="H86" i="2"/>
  <c r="H87" i="2"/>
  <c r="H88" i="2"/>
  <c r="H89" i="2"/>
  <c r="H83" i="2"/>
  <c r="L71" i="2"/>
  <c r="L72" i="2"/>
  <c r="L73" i="2"/>
  <c r="L74" i="2"/>
  <c r="L75" i="2"/>
  <c r="L76" i="2"/>
  <c r="L70" i="2"/>
  <c r="F70" i="2"/>
  <c r="D71" i="2"/>
  <c r="F71" i="2" s="1"/>
  <c r="D72" i="2"/>
  <c r="F72" i="2" s="1"/>
  <c r="D73" i="2"/>
  <c r="F73" i="2" s="1"/>
  <c r="D74" i="2"/>
  <c r="F74" i="2" s="1"/>
  <c r="D75" i="2"/>
  <c r="F75" i="2" s="1"/>
  <c r="D76" i="2"/>
  <c r="F76" i="2" s="1"/>
  <c r="D70" i="2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N47" i="2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L13" i="2"/>
  <c r="L14" i="2"/>
  <c r="L15" i="2"/>
  <c r="L16" i="2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P16" i="2" l="1"/>
  <c r="P12" i="2"/>
  <c r="P47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<sst xmlns="http://schemas.openxmlformats.org/spreadsheetml/2006/main" count="184" uniqueCount="104">
  <si>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</si>
  <si>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</si>
  <si>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</si>
  <si>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</si>
  <si>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</si>
  <si>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</si>
  <si>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</si>
  <si>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</si>
  <si>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</si>
  <si>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</si>
  <si>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</si>
  <si>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</si>
  <si>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</si>
  <si>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</si>
  <si>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</si>
  <si>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</si>
  <si>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</si>
  <si>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</si>
  <si>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</si>
  <si>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</si>
  <si>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</si>
  <si>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</si>
  <si>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</si>
  <si>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</si>
  <si>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</si>
  <si>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</si>
  <si>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</si>
  <si>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</si>
  <si>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</si>
  <si>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</si>
  <si>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</si>
  <si>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</si>
  <si>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</si>
  <si>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</si>
  <si>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</si>
  <si>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</si>
  <si>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</si>
  <si>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</si>
  <si>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</si>
  <si>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</si>
  <si>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</si>
  <si>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</si>
  <si>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</si>
  <si>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</si>
  <si>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</si>
  <si>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</si>
  <si>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</si>
  <si>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</si>
  <si>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</si>
  <si>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</si>
  <si>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</si>
  <si>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</si>
  <si>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</si>
  <si>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</si>
  <si>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</si>
  <si>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</si>
  <si>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</si>
  <si>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</si>
  <si>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</si>
  <si>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</si>
  <si>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</si>
  <si>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</si>
  <si>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</si>
  <si>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</si>
  <si>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</si>
  <si>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</si>
  <si>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</si>
  <si>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</si>
  <si>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</si>
  <si>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</si>
  <si>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</si>
  <si>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</si>
  <si>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</si>
  <si>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</si>
  <si>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</si>
  <si>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</si>
  <si>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</si>
  <si>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</si>
  <si>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</si>
  <si>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</si>
  <si>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</si>
  <si>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</si>
  <si>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</si>
  <si>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</si>
  <si>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</si>
  <si>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</si>
  <si>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</si>
  <si>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</si>
  <si>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</si>
  <si>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</si>
  <si>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</si>
  <si>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</si>
  <si>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</si>
  <si>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</si>
  <si>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</si>
  <si>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</si>
  <si>
    <t>Internal Processing Time</t>
  </si>
  <si>
    <t>Internal Waiting Time</t>
  </si>
  <si>
    <t>Internal Round Trip Latency</t>
  </si>
  <si>
    <t>M6: Total Internal Response Time</t>
  </si>
  <si>
    <t>M6: Internal Round-trip Latency</t>
  </si>
  <si>
    <t>Sharding_Execution_Time</t>
  </si>
  <si>
    <t>Number of Key-Value Pair</t>
  </si>
  <si>
    <t>C1-M6: Total Response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</si>
</sst>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89"/>
  <sheetViews>
    <sheetView tabSelected="1" topLeftCell="A53" zoomScale="91" zoomScaleNormal="91" workbookViewId="0">
      <selection activeCell="K93" sqref="K93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2:16" x14ac:dyDescent="0.25">
      <c r="J53" t="s">
        <v>90</v>
      </c>
      <c r="K53" s="2" t="s">
        <v>85</v>
      </c>
      <c r="L53" t="s">
        <v>86</v>
      </c>
      <c r="M53" t="s">
        <v>91</v>
      </c>
      <c r="N53" t="s">
        <v>89</v>
      </c>
      <c r="O53" t="s">
        <v>88</v>
      </c>
      <c r="P53" t="s">
        <v>87</v>
      </c>
    </row>
    <row r="54" spans="2:16" x14ac:dyDescent="0.25">
      <c r="J54" s="8">
        <v>3.4243865973862802</v>
      </c>
      <c r="K54" s="2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2:16" x14ac:dyDescent="0.25">
      <c r="D55" s="10"/>
      <c r="F55" s="10"/>
      <c r="G55" s="10"/>
      <c r="J55" s="8">
        <v>3.4243865973862802</v>
      </c>
      <c r="K55" s="2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2:16" x14ac:dyDescent="0.25">
      <c r="B56" s="10"/>
      <c r="D56" s="10"/>
      <c r="F56" s="10"/>
      <c r="G56" s="10"/>
      <c r="J56" s="8">
        <v>3.4322229428683699</v>
      </c>
      <c r="K56" s="2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2:16" x14ac:dyDescent="0.25">
      <c r="D57" s="10"/>
      <c r="F57" s="10"/>
      <c r="G57" s="10"/>
      <c r="J57" s="8">
        <v>3.4322229428683699</v>
      </c>
      <c r="K57" s="2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2:16" x14ac:dyDescent="0.25">
      <c r="D58" s="10"/>
      <c r="F58" s="10"/>
      <c r="G58" s="10"/>
      <c r="J58" s="8">
        <v>3.4031658544935599</v>
      </c>
      <c r="K58" s="2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2:16" x14ac:dyDescent="0.25">
      <c r="D59" s="10"/>
      <c r="F59" s="10"/>
      <c r="G59" s="10"/>
      <c r="J59" s="8">
        <v>3.4400745046623098</v>
      </c>
      <c r="K59" s="2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2:16" x14ac:dyDescent="0.25">
      <c r="D60" s="10"/>
      <c r="F60" s="10"/>
      <c r="G60" s="10"/>
      <c r="J60" s="8">
        <v>3.4400745046623098</v>
      </c>
      <c r="K60" s="2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2:16" x14ac:dyDescent="0.25">
      <c r="D61" s="10"/>
      <c r="F61" s="10"/>
      <c r="G61" s="10"/>
    </row>
    <row r="67" spans="1:16" x14ac:dyDescent="0.25">
      <c r="O67" s="10"/>
    </row>
    <row r="68" spans="1:16" x14ac:dyDescent="0.25">
      <c r="O68" s="10"/>
    </row>
    <row r="69" spans="1:16" x14ac:dyDescent="0.25">
      <c r="B69" t="s">
        <v>94</v>
      </c>
      <c r="C69" t="s">
        <v>95</v>
      </c>
      <c r="D69" t="s">
        <v>93</v>
      </c>
      <c r="E69" t="s">
        <v>92</v>
      </c>
      <c r="F69" t="s">
        <v>88</v>
      </c>
      <c r="H69" t="s">
        <v>66</v>
      </c>
      <c r="I69" t="s">
        <v>98</v>
      </c>
      <c r="J69" s="2" t="s">
        <v>99</v>
      </c>
      <c r="K69" t="s">
        <v>96</v>
      </c>
      <c r="L69" t="s">
        <v>97</v>
      </c>
      <c r="P69" s="10"/>
    </row>
    <row r="70" spans="1:16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0.53922044867672203</v>
      </c>
      <c r="J70" s="2">
        <v>1.80840492248535</v>
      </c>
      <c r="K70">
        <v>4.1486054322107613E-2</v>
      </c>
      <c r="L70">
        <f>J70-K70</f>
        <v>1.7669188681632424</v>
      </c>
      <c r="M70" s="6"/>
      <c r="O70" s="10"/>
    </row>
    <row r="71" spans="1:16" x14ac:dyDescent="0.25">
      <c r="A71" t="s">
        <v>52</v>
      </c>
      <c r="B71">
        <v>25.537014007568299</v>
      </c>
      <c r="C71">
        <v>6.0045148916153233</v>
      </c>
      <c r="D71">
        <f t="shared" ref="D71:D76" si="17">B71-C71</f>
        <v>19.532499115952977</v>
      </c>
      <c r="E71">
        <v>45.082622893090097</v>
      </c>
      <c r="F71">
        <f t="shared" ref="F71:F76" si="18">C71+D71+E71</f>
        <v>70.619636900658392</v>
      </c>
      <c r="H71">
        <v>54.5115243820917</v>
      </c>
      <c r="I71">
        <v>45.082622893090097</v>
      </c>
      <c r="J71" s="2">
        <v>25.537014007568299</v>
      </c>
      <c r="K71">
        <v>6.0045148916153233</v>
      </c>
      <c r="L71">
        <f t="shared" ref="L71:L76" si="19">J71-K71</f>
        <v>19.532499115952977</v>
      </c>
      <c r="O71" s="10"/>
    </row>
    <row r="72" spans="1:16" x14ac:dyDescent="0.25">
      <c r="A72" t="s">
        <v>53</v>
      </c>
      <c r="B72">
        <v>0.39505958557128901</v>
      </c>
      <c r="C72">
        <v>9.6146269678780261E-2</v>
      </c>
      <c r="D72">
        <f t="shared" si="17"/>
        <v>0.29891331589250875</v>
      </c>
      <c r="E72">
        <v>0.54917054483667005</v>
      </c>
      <c r="F72">
        <f t="shared" si="18"/>
        <v>0.944230130407959</v>
      </c>
      <c r="H72">
        <v>4.0775397573838204</v>
      </c>
      <c r="I72">
        <v>0.54917054483667005</v>
      </c>
      <c r="J72" s="2">
        <v>0.39505958557128901</v>
      </c>
      <c r="K72">
        <v>9.6146269678780261E-2</v>
      </c>
      <c r="L72">
        <f t="shared" si="19"/>
        <v>0.29891331589250875</v>
      </c>
      <c r="O72" s="10"/>
    </row>
    <row r="73" spans="1:16" x14ac:dyDescent="0.25">
      <c r="A73" t="s">
        <v>54</v>
      </c>
      <c r="B73">
        <v>15.4211521148681</v>
      </c>
      <c r="C73">
        <v>9.3623754654125282</v>
      </c>
      <c r="D73">
        <f t="shared" si="17"/>
        <v>6.0587766494555719</v>
      </c>
      <c r="E73">
        <v>34.394685960258002</v>
      </c>
      <c r="F73">
        <f t="shared" si="18"/>
        <v>49.815838075126102</v>
      </c>
      <c r="H73">
        <v>47.1892843685389</v>
      </c>
      <c r="I73">
        <v>34.394685960258002</v>
      </c>
      <c r="J73" s="2">
        <v>15.4211521148681</v>
      </c>
      <c r="K73">
        <v>9.3623754654125282</v>
      </c>
      <c r="L73">
        <f t="shared" si="19"/>
        <v>6.0587766494555719</v>
      </c>
      <c r="O73" s="10"/>
    </row>
    <row r="74" spans="1:16" x14ac:dyDescent="0.25">
      <c r="A74" t="s">
        <v>41</v>
      </c>
      <c r="B74">
        <v>3.9656162261962802</v>
      </c>
      <c r="C74">
        <v>1.567547813893901</v>
      </c>
      <c r="D74">
        <f t="shared" si="17"/>
        <v>2.3980684123023792</v>
      </c>
      <c r="E74">
        <v>6.2376752522495398</v>
      </c>
      <c r="F74">
        <f t="shared" si="18"/>
        <v>10.20329147844582</v>
      </c>
      <c r="H74">
        <v>11.208388920637001</v>
      </c>
      <c r="I74">
        <v>6.2376752522495398</v>
      </c>
      <c r="J74" s="2">
        <v>3.9656162261962802</v>
      </c>
      <c r="K74">
        <v>1.567547813893901</v>
      </c>
      <c r="L74">
        <f t="shared" si="19"/>
        <v>2.3980684123023792</v>
      </c>
    </row>
    <row r="75" spans="1:16" x14ac:dyDescent="0.25">
      <c r="A75" t="s">
        <v>42</v>
      </c>
      <c r="B75">
        <v>0.38695335388183499</v>
      </c>
      <c r="C75">
        <v>0.12456650453927143</v>
      </c>
      <c r="D75">
        <f t="shared" si="17"/>
        <v>0.26238684934256357</v>
      </c>
      <c r="E75">
        <v>0.54279469219126897</v>
      </c>
      <c r="F75">
        <f t="shared" si="18"/>
        <v>0.92974804607310402</v>
      </c>
      <c r="H75">
        <v>4.1074357013928502</v>
      </c>
      <c r="I75">
        <v>0.54279469219126897</v>
      </c>
      <c r="J75" s="2">
        <v>0.38695335388183499</v>
      </c>
      <c r="K75">
        <v>0.12456650453927143</v>
      </c>
      <c r="L75">
        <f t="shared" si="19"/>
        <v>0.26238684934256357</v>
      </c>
    </row>
    <row r="76" spans="1:16" x14ac:dyDescent="0.25">
      <c r="A76" t="s">
        <v>55</v>
      </c>
      <c r="B76">
        <v>3.5953521728515598</v>
      </c>
      <c r="C76">
        <v>0.47330379379092902</v>
      </c>
      <c r="D76">
        <f t="shared" si="17"/>
        <v>3.1220483790606308</v>
      </c>
      <c r="E76">
        <v>5.9257052455949104</v>
      </c>
      <c r="F76">
        <f t="shared" si="18"/>
        <v>9.5210574184464711</v>
      </c>
      <c r="H76">
        <v>9.8390835440481492</v>
      </c>
      <c r="I76">
        <v>5.9257052455949104</v>
      </c>
      <c r="J76" s="2">
        <v>3.5953521728515598</v>
      </c>
      <c r="K76">
        <v>0.47330379379092902</v>
      </c>
      <c r="L76">
        <f t="shared" si="19"/>
        <v>3.1220483790606308</v>
      </c>
    </row>
    <row r="82" spans="1:8" x14ac:dyDescent="0.25">
      <c r="A82" s="2" t="s">
        <v>0</v>
      </c>
      <c r="B82" t="s">
        <v>103</v>
      </c>
      <c r="E82" t="s">
        <v>102</v>
      </c>
      <c r="F82" s="2" t="s">
        <v>100</v>
      </c>
      <c r="G82" t="s">
        <v>101</v>
      </c>
    </row>
    <row r="83" spans="1:8" x14ac:dyDescent="0.25">
      <c r="A83" t="s">
        <v>51</v>
      </c>
      <c r="B83">
        <v>4.0050931003851096</v>
      </c>
      <c r="C83">
        <v>0.55838740154120903</v>
      </c>
      <c r="E83">
        <v>1</v>
      </c>
      <c r="F83" s="2">
        <v>1.80840492248535</v>
      </c>
      <c r="G83">
        <v>4.5504420995712202E-3</v>
      </c>
      <c r="H83">
        <f>F83-G83</f>
        <v>1.8038544803857788</v>
      </c>
    </row>
    <row r="84" spans="1:8" x14ac:dyDescent="0.25">
      <c r="A84" t="s">
        <v>52</v>
      </c>
      <c r="B84">
        <v>54.5115243820917</v>
      </c>
      <c r="C84">
        <v>44.2128236796663</v>
      </c>
      <c r="E84">
        <v>1000</v>
      </c>
      <c r="F84" s="2">
        <v>25.537014007568299</v>
      </c>
      <c r="G84">
        <v>1.76797062158584</v>
      </c>
      <c r="H84">
        <f t="shared" ref="H84:H89" si="20">F84-G84</f>
        <v>23.76904338598246</v>
      </c>
    </row>
    <row r="85" spans="1:8" x14ac:dyDescent="0.25">
      <c r="A85" t="s">
        <v>53</v>
      </c>
      <c r="B85">
        <v>4.0775397573838204</v>
      </c>
      <c r="C85">
        <v>0.55610468315723705</v>
      </c>
      <c r="E85">
        <v>1</v>
      </c>
      <c r="F85" s="2">
        <v>0.39505958557128901</v>
      </c>
      <c r="G85">
        <v>4.5504420995712202E-3</v>
      </c>
      <c r="H85">
        <f t="shared" si="20"/>
        <v>0.39050914347171778</v>
      </c>
    </row>
    <row r="86" spans="1:8" x14ac:dyDescent="0.25">
      <c r="A86" t="s">
        <v>54</v>
      </c>
      <c r="B86">
        <v>47.1892843685389</v>
      </c>
      <c r="C86">
        <v>33.915199203098602</v>
      </c>
      <c r="E86">
        <v>1000</v>
      </c>
      <c r="F86" s="2">
        <v>15.4211521148681</v>
      </c>
      <c r="G86">
        <v>1.76797062158584</v>
      </c>
      <c r="H86">
        <f t="shared" si="20"/>
        <v>13.653181493282259</v>
      </c>
    </row>
    <row r="87" spans="1:8" x14ac:dyDescent="0.25">
      <c r="A87" t="s">
        <v>41</v>
      </c>
      <c r="B87">
        <v>11.208388920637001</v>
      </c>
      <c r="C87">
        <v>6.26711183921228</v>
      </c>
      <c r="E87">
        <v>100</v>
      </c>
      <c r="F87" s="2">
        <v>3.9656162261962802</v>
      </c>
      <c r="G87">
        <v>0.18550083041191101</v>
      </c>
      <c r="H87">
        <f t="shared" si="20"/>
        <v>3.7801153957843692</v>
      </c>
    </row>
    <row r="88" spans="1:8" x14ac:dyDescent="0.25">
      <c r="A88" t="s">
        <v>42</v>
      </c>
      <c r="B88">
        <v>4.1074357013928502</v>
      </c>
      <c r="C88">
        <v>0.53144267035855097</v>
      </c>
      <c r="E88">
        <v>1</v>
      </c>
      <c r="F88" s="2">
        <v>0.38695335388183499</v>
      </c>
      <c r="G88">
        <v>4.5504420995712202E-3</v>
      </c>
      <c r="H88">
        <f t="shared" si="20"/>
        <v>0.38240291178226377</v>
      </c>
    </row>
    <row r="89" spans="1:8" x14ac:dyDescent="0.25">
      <c r="A89" t="s">
        <v>55</v>
      </c>
      <c r="B89">
        <v>9.8390835440481492</v>
      </c>
      <c r="C89">
        <v>5.8418899377243996</v>
      </c>
      <c r="E89">
        <v>100</v>
      </c>
      <c r="F89" s="2">
        <v>3.5953521728515598</v>
      </c>
      <c r="G89">
        <v>0.18550083041191101</v>
      </c>
      <c r="H89">
        <f t="shared" si="20"/>
        <v>3.4098513424396488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2023-04-16T16:11:18Z</dcterms:modified>
</cp:coreProperties>
</file>